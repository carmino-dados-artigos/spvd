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9f67c4b7b5644f/Projetos/projetos em_rascunho/prompts/guilherme/experimentos/"/>
    </mc:Choice>
  </mc:AlternateContent>
  <xr:revisionPtr revIDLastSave="1" documentId="13_ncr:1_{13CF7AB0-BC97-4B44-AE22-6C43FBDF42C4}" xr6:coauthVersionLast="47" xr6:coauthVersionMax="47" xr10:uidLastSave="{641E2F83-DBEE-476D-AA5D-D73B0C22B30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" i="1"/>
  <c r="J4" i="1"/>
  <c r="J29" i="1"/>
  <c r="J208" i="1"/>
  <c r="J9" i="1"/>
  <c r="J61" i="1"/>
  <c r="J35" i="1"/>
  <c r="J172" i="1"/>
  <c r="J44" i="1"/>
  <c r="J11" i="1"/>
  <c r="J31" i="1"/>
  <c r="J173" i="1"/>
  <c r="J126" i="1"/>
  <c r="J190" i="1"/>
  <c r="J128" i="1"/>
  <c r="J198" i="1"/>
  <c r="J25" i="1"/>
  <c r="J121" i="1"/>
  <c r="J200" i="1"/>
  <c r="J202" i="1"/>
  <c r="J205" i="1"/>
  <c r="J199" i="1"/>
  <c r="J197" i="1"/>
  <c r="J50" i="1"/>
  <c r="J74" i="1"/>
  <c r="J125" i="1"/>
  <c r="J37" i="1"/>
  <c r="J98" i="1"/>
  <c r="J147" i="1"/>
  <c r="J66" i="1"/>
  <c r="J76" i="1"/>
  <c r="J81" i="1"/>
  <c r="J34" i="1"/>
  <c r="J166" i="1"/>
  <c r="J181" i="1"/>
  <c r="J154" i="1"/>
  <c r="J177" i="1"/>
  <c r="J69" i="1"/>
  <c r="J60" i="1"/>
  <c r="J192" i="1"/>
  <c r="J127" i="1"/>
  <c r="J167" i="1"/>
  <c r="J130" i="1"/>
  <c r="J182" i="1"/>
  <c r="J39" i="1"/>
  <c r="J47" i="1"/>
  <c r="J41" i="1"/>
  <c r="J129" i="1"/>
  <c r="J12" i="1"/>
  <c r="J5" i="1"/>
  <c r="J105" i="1"/>
  <c r="J77" i="1"/>
  <c r="J168" i="1"/>
  <c r="J79" i="1"/>
  <c r="J84" i="1"/>
  <c r="J99" i="1"/>
  <c r="J132" i="1"/>
  <c r="J80" i="1"/>
  <c r="J131" i="1"/>
  <c r="J108" i="1"/>
  <c r="J203" i="1"/>
  <c r="J62" i="1"/>
  <c r="J133" i="1"/>
  <c r="J186" i="1"/>
  <c r="J134" i="1"/>
  <c r="J49" i="1"/>
  <c r="J180" i="1"/>
  <c r="J111" i="1"/>
  <c r="J183" i="1"/>
  <c r="J114" i="1"/>
  <c r="J189" i="1"/>
  <c r="J136" i="1"/>
  <c r="J184" i="1"/>
  <c r="J156" i="1"/>
  <c r="J187" i="1"/>
  <c r="J149" i="1"/>
  <c r="J201" i="1"/>
  <c r="J206" i="1"/>
  <c r="J207" i="1"/>
  <c r="J46" i="1"/>
  <c r="J64" i="1"/>
  <c r="J135" i="1"/>
  <c r="J52" i="1"/>
  <c r="J82" i="1"/>
  <c r="J137" i="1"/>
  <c r="J158" i="1"/>
  <c r="J139" i="1"/>
  <c r="J185" i="1"/>
  <c r="J116" i="1"/>
  <c r="J101" i="1"/>
  <c r="J87" i="1"/>
  <c r="J151" i="1"/>
  <c r="J90" i="1"/>
  <c r="J141" i="1"/>
  <c r="J92" i="1"/>
  <c r="J30" i="1"/>
  <c r="J83" i="1"/>
  <c r="J65" i="1"/>
  <c r="J138" i="1"/>
  <c r="J19" i="1"/>
  <c r="J140" i="1"/>
  <c r="J89" i="1"/>
  <c r="J42" i="1"/>
  <c r="J142" i="1"/>
  <c r="J103" i="1"/>
  <c r="J67" i="1"/>
  <c r="J159" i="1"/>
  <c r="J109" i="1"/>
  <c r="J43" i="1"/>
  <c r="J94" i="1"/>
  <c r="J112" i="1"/>
  <c r="J17" i="1"/>
  <c r="J118" i="1"/>
  <c r="J91" i="1"/>
  <c r="J71" i="1"/>
  <c r="J51" i="1"/>
  <c r="J144" i="1"/>
  <c r="J104" i="1"/>
  <c r="J175" i="1"/>
  <c r="J85" i="1"/>
  <c r="J122" i="1"/>
  <c r="J16" i="1"/>
  <c r="J96" i="1"/>
  <c r="J106" i="1"/>
  <c r="J100" i="1"/>
  <c r="J153" i="1"/>
  <c r="J146" i="1"/>
  <c r="J68" i="1"/>
  <c r="J73" i="1"/>
  <c r="J155" i="1"/>
  <c r="J148" i="1"/>
  <c r="J161" i="1"/>
  <c r="J160" i="1"/>
  <c r="J107" i="1"/>
  <c r="J75" i="1"/>
  <c r="J53" i="1"/>
  <c r="J150" i="1"/>
  <c r="J110" i="1"/>
  <c r="J170" i="1"/>
  <c r="J163" i="1"/>
  <c r="J124" i="1"/>
  <c r="J86" i="1"/>
  <c r="J176" i="1"/>
  <c r="J113" i="1"/>
  <c r="J48" i="1"/>
  <c r="J115" i="1"/>
  <c r="J120" i="1"/>
  <c r="J117" i="1"/>
  <c r="J162" i="1"/>
  <c r="J93" i="1"/>
  <c r="J54" i="1"/>
  <c r="J20" i="1"/>
  <c r="J164" i="1"/>
  <c r="J21" i="1"/>
  <c r="J10" i="1"/>
  <c r="J157" i="1"/>
  <c r="J56" i="1"/>
  <c r="J7" i="1"/>
  <c r="J178" i="1"/>
  <c r="J165" i="1"/>
  <c r="J188" i="1"/>
  <c r="J169" i="1"/>
  <c r="J123" i="1"/>
  <c r="J119" i="1"/>
  <c r="J58" i="1"/>
  <c r="J45" i="1"/>
  <c r="J33" i="1"/>
  <c r="J22" i="1"/>
  <c r="J63" i="1"/>
  <c r="J55" i="1"/>
  <c r="J13" i="1"/>
  <c r="J26" i="1"/>
  <c r="J23" i="1"/>
  <c r="J191" i="1"/>
  <c r="J24" i="1"/>
  <c r="J57" i="1"/>
  <c r="J152" i="1"/>
  <c r="J179" i="1"/>
  <c r="J32" i="1"/>
  <c r="J95" i="1"/>
  <c r="J59" i="1"/>
  <c r="J36" i="1"/>
  <c r="J27" i="1"/>
  <c r="J97" i="1"/>
  <c r="J70" i="1"/>
  <c r="J38" i="1"/>
  <c r="J18" i="1"/>
  <c r="J88" i="1"/>
  <c r="J2" i="1"/>
  <c r="J28" i="1"/>
  <c r="J14" i="1"/>
  <c r="J193" i="1"/>
  <c r="J194" i="1"/>
  <c r="J195" i="1"/>
  <c r="J196" i="1"/>
  <c r="J8" i="1"/>
  <c r="J3" i="1"/>
  <c r="J78" i="1"/>
  <c r="J6" i="1"/>
  <c r="J174" i="1"/>
  <c r="J40" i="1"/>
  <c r="J102" i="1"/>
  <c r="J204" i="1"/>
  <c r="J72" i="1"/>
  <c r="J143" i="1"/>
  <c r="J145" i="1"/>
  <c r="J171" i="1"/>
  <c r="J15" i="1"/>
</calcChain>
</file>

<file path=xl/sharedStrings.xml><?xml version="1.0" encoding="utf-8"?>
<sst xmlns="http://schemas.openxmlformats.org/spreadsheetml/2006/main" count="1249" uniqueCount="170">
  <si>
    <t>Data</t>
  </si>
  <si>
    <t>Obra</t>
  </si>
  <si>
    <t>Local do ensaio</t>
  </si>
  <si>
    <t>Cura</t>
  </si>
  <si>
    <t>Concreteira</t>
  </si>
  <si>
    <t>Estado</t>
  </si>
  <si>
    <t>Região</t>
  </si>
  <si>
    <t>Tipo de cimento</t>
  </si>
  <si>
    <t>Consumo de cimento (kg/m3)</t>
  </si>
  <si>
    <t>Consumo de água (kg/m3)</t>
  </si>
  <si>
    <t>Relação a/c</t>
  </si>
  <si>
    <t>Consumo de DRY D1 (kg/m3)</t>
  </si>
  <si>
    <t>Consumo fibra metálica (kg/m3)</t>
  </si>
  <si>
    <t>Consumo macrofibra PP (kg/m3)</t>
  </si>
  <si>
    <t>Consumo microfibra PP (kg/m3)</t>
  </si>
  <si>
    <r>
      <t>Variação dimensional 12 h (</t>
    </r>
    <r>
      <rPr>
        <sz val="11"/>
        <color theme="1"/>
        <rFont val="Calibri"/>
        <family val="2"/>
      </rPr>
      <t>µm/m</t>
    </r>
    <r>
      <rPr>
        <sz val="11"/>
        <color theme="1"/>
        <rFont val="Calibri"/>
        <family val="2"/>
        <scheme val="minor"/>
      </rPr>
      <t>)</t>
    </r>
  </si>
  <si>
    <r>
      <t>Variação dimensional 1 dia (</t>
    </r>
    <r>
      <rPr>
        <sz val="11"/>
        <color theme="1"/>
        <rFont val="Calibri"/>
        <family val="2"/>
      </rPr>
      <t>µm/m</t>
    </r>
    <r>
      <rPr>
        <sz val="11"/>
        <color theme="1"/>
        <rFont val="Calibri"/>
        <family val="2"/>
        <scheme val="minor"/>
      </rPr>
      <t>)</t>
    </r>
  </si>
  <si>
    <r>
      <t>Variação dimensional 3 dias (</t>
    </r>
    <r>
      <rPr>
        <sz val="11"/>
        <color theme="1"/>
        <rFont val="Calibri"/>
        <family val="2"/>
      </rPr>
      <t>µm/m</t>
    </r>
    <r>
      <rPr>
        <sz val="11"/>
        <color theme="1"/>
        <rFont val="Calibri"/>
        <family val="2"/>
        <scheme val="minor"/>
      </rPr>
      <t>)</t>
    </r>
  </si>
  <si>
    <r>
      <t>Variação dimensional 7 dias (</t>
    </r>
    <r>
      <rPr>
        <sz val="11"/>
        <color theme="1"/>
        <rFont val="Calibri"/>
        <family val="2"/>
      </rPr>
      <t>µm/m</t>
    </r>
    <r>
      <rPr>
        <sz val="11"/>
        <color theme="1"/>
        <rFont val="Calibri"/>
        <family val="2"/>
        <scheme val="minor"/>
      </rPr>
      <t>)</t>
    </r>
  </si>
  <si>
    <r>
      <t>Variação dimensional 14 dias (</t>
    </r>
    <r>
      <rPr>
        <sz val="11"/>
        <color theme="1"/>
        <rFont val="Calibri"/>
        <family val="2"/>
      </rPr>
      <t>µm/m</t>
    </r>
    <r>
      <rPr>
        <sz val="11"/>
        <color theme="1"/>
        <rFont val="Calibri"/>
        <family val="2"/>
        <scheme val="minor"/>
      </rPr>
      <t>)</t>
    </r>
  </si>
  <si>
    <r>
      <t>Variação dimensional 28 dias (</t>
    </r>
    <r>
      <rPr>
        <sz val="11"/>
        <color theme="1"/>
        <rFont val="Calibri"/>
        <family val="2"/>
      </rPr>
      <t>µm/m</t>
    </r>
    <r>
      <rPr>
        <sz val="11"/>
        <color theme="1"/>
        <rFont val="Calibri"/>
        <family val="2"/>
        <scheme val="minor"/>
      </rPr>
      <t>)</t>
    </r>
  </si>
  <si>
    <r>
      <t>Variação dimensional 56 dias (</t>
    </r>
    <r>
      <rPr>
        <sz val="11"/>
        <color theme="1"/>
        <rFont val="Calibri"/>
        <family val="2"/>
      </rPr>
      <t>µm/m</t>
    </r>
    <r>
      <rPr>
        <sz val="11"/>
        <color theme="1"/>
        <rFont val="Calibri"/>
        <family val="2"/>
        <scheme val="minor"/>
      </rPr>
      <t>)</t>
    </r>
  </si>
  <si>
    <t>Diferença variação dimensional 28 - 56 dias  (µm/m)</t>
  </si>
  <si>
    <r>
      <t>l</t>
    </r>
    <r>
      <rPr>
        <vertAlign val="sub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/ l</t>
    </r>
    <r>
      <rPr>
        <vertAlign val="subscript"/>
        <sz val="11"/>
        <color theme="1"/>
        <rFont val="Calibri"/>
        <family val="2"/>
        <scheme val="minor"/>
      </rPr>
      <t>56</t>
    </r>
  </si>
  <si>
    <r>
      <t>l</t>
    </r>
    <r>
      <rPr>
        <vertAlign val="sub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/ l</t>
    </r>
    <r>
      <rPr>
        <vertAlign val="subscript"/>
        <sz val="11"/>
        <color theme="1"/>
        <rFont val="Calibri"/>
        <family val="2"/>
        <scheme val="minor"/>
      </rPr>
      <t>56</t>
    </r>
  </si>
  <si>
    <t xml:space="preserve">Parede de Concreto Sodil </t>
  </si>
  <si>
    <t>Laboratório</t>
  </si>
  <si>
    <t>56 dias ar 50% umidade</t>
  </si>
  <si>
    <t>Concrebase</t>
  </si>
  <si>
    <t>SP</t>
  </si>
  <si>
    <t>Sudeste</t>
  </si>
  <si>
    <t>CP V ARI</t>
  </si>
  <si>
    <t>Assaí Serra</t>
  </si>
  <si>
    <t>BCP</t>
  </si>
  <si>
    <t>ES</t>
  </si>
  <si>
    <t>CP II E 40</t>
  </si>
  <si>
    <t>GLP Cajamar III</t>
  </si>
  <si>
    <t>7 dias úmida / 56 dias ar 50% umidade</t>
  </si>
  <si>
    <t>Polimix</t>
  </si>
  <si>
    <t>CP II</t>
  </si>
  <si>
    <t>Assaí Rio de Janeiro - Macaé</t>
  </si>
  <si>
    <t>Telmec</t>
  </si>
  <si>
    <t>RJ</t>
  </si>
  <si>
    <t>CP V ARI RS</t>
  </si>
  <si>
    <t>Klabin</t>
  </si>
  <si>
    <t>Parede de Concreto Sodil</t>
  </si>
  <si>
    <t>Campo</t>
  </si>
  <si>
    <t>GLP - Mauá</t>
  </si>
  <si>
    <t>Concreserv</t>
  </si>
  <si>
    <t>Assaí Cotia</t>
  </si>
  <si>
    <t>Assaí Alcântara São Gonçalo</t>
  </si>
  <si>
    <t>CP III RS</t>
  </si>
  <si>
    <t>Concrecity</t>
  </si>
  <si>
    <t>Assaí Cabula Salvador</t>
  </si>
  <si>
    <t>BA</t>
  </si>
  <si>
    <t>Nordeste</t>
  </si>
  <si>
    <t>CP II F 40</t>
  </si>
  <si>
    <t>Assaí Ilha do Governador Rio de Janeiro</t>
  </si>
  <si>
    <t>Assaí Maceió</t>
  </si>
  <si>
    <t>AL</t>
  </si>
  <si>
    <t>Assaí São Bernardo do Campo</t>
  </si>
  <si>
    <t>Assaí Parnapirim</t>
  </si>
  <si>
    <t>Progeren</t>
  </si>
  <si>
    <t>RN</t>
  </si>
  <si>
    <t>Assaí Sorocaba</t>
  </si>
  <si>
    <t>Assaí Rondonópolis</t>
  </si>
  <si>
    <t>SuceSpar</t>
  </si>
  <si>
    <t>MT</t>
  </si>
  <si>
    <t>Centro Oeste</t>
  </si>
  <si>
    <t>Assaí Mooca</t>
  </si>
  <si>
    <t>Barra</t>
  </si>
  <si>
    <t>Engemix</t>
  </si>
  <si>
    <t>CP III</t>
  </si>
  <si>
    <t>Prologis Castelo 46</t>
  </si>
  <si>
    <t>Ribeiro Caram</t>
  </si>
  <si>
    <t>Assaí Rio de Janeiro - Meriti</t>
  </si>
  <si>
    <t>GLP Guarulhos</t>
  </si>
  <si>
    <t>Assaí Capedelo</t>
  </si>
  <si>
    <t>BPC Engenharia</t>
  </si>
  <si>
    <t>PB</t>
  </si>
  <si>
    <t>Assaí Manaus</t>
  </si>
  <si>
    <t>R1</t>
  </si>
  <si>
    <t>AM</t>
  </si>
  <si>
    <t>Norte</t>
  </si>
  <si>
    <t>CP II F 32 RS</t>
  </si>
  <si>
    <t>Assaí Praia Grande</t>
  </si>
  <si>
    <t>Watts</t>
  </si>
  <si>
    <t>Assaí Atuba Curitiba</t>
  </si>
  <si>
    <t>Plano Engenharia</t>
  </si>
  <si>
    <t>PR</t>
  </si>
  <si>
    <t>Sul</t>
  </si>
  <si>
    <t>Assaí Rio de Janeiro - Barra da Tijuca</t>
  </si>
  <si>
    <t>Assaí João Dias</t>
  </si>
  <si>
    <t>Assaí Araruma</t>
  </si>
  <si>
    <t>DRV</t>
  </si>
  <si>
    <t>SC</t>
  </si>
  <si>
    <t>Assaí Santos Dofer</t>
  </si>
  <si>
    <t>Assaí Ribeirão Preto</t>
  </si>
  <si>
    <t>GLP Regis 2021 (Itapecerica da Serra)</t>
  </si>
  <si>
    <t>Concrelongo</t>
  </si>
  <si>
    <t>Assaí Ceilândia</t>
  </si>
  <si>
    <t>DF</t>
  </si>
  <si>
    <t>LOG Recife</t>
  </si>
  <si>
    <t>PE</t>
  </si>
  <si>
    <t>Assaí Park Brasília</t>
  </si>
  <si>
    <t>CP II Z 40</t>
  </si>
  <si>
    <t>Assaí Joao Pessoa</t>
  </si>
  <si>
    <t>Assaí Teresina</t>
  </si>
  <si>
    <t>Marcca</t>
  </si>
  <si>
    <t>PI</t>
  </si>
  <si>
    <t>Assaí Fortaleza</t>
  </si>
  <si>
    <t>CE</t>
  </si>
  <si>
    <t>XPEX</t>
  </si>
  <si>
    <t>Ciplan</t>
  </si>
  <si>
    <t>Assaí Mogi das Cruzes</t>
  </si>
  <si>
    <t>Neri Martins</t>
  </si>
  <si>
    <t xml:space="preserve">Assaí Recife </t>
  </si>
  <si>
    <t>Imperatriz</t>
  </si>
  <si>
    <t>Assaí Rio de Janeiro - São Gonçalo - Camil</t>
  </si>
  <si>
    <t>Centeranel</t>
  </si>
  <si>
    <t>Racional</t>
  </si>
  <si>
    <t>Assaí Rio de Janeiro - São Gonçalo - Tribobó</t>
  </si>
  <si>
    <t>Assaí Palmas</t>
  </si>
  <si>
    <t>TO</t>
  </si>
  <si>
    <t>Assaí Maracanã Rio de Janeiro</t>
  </si>
  <si>
    <t>Assaí Itatiba</t>
  </si>
  <si>
    <t xml:space="preserve">SP </t>
  </si>
  <si>
    <t>Assaí Frequesia do Ó São Paulo</t>
  </si>
  <si>
    <t>BL&amp;M Engenharia</t>
  </si>
  <si>
    <t>Assaí Guaianazes São Paulo</t>
  </si>
  <si>
    <t>Assaí Taboão da Serra</t>
  </si>
  <si>
    <t>Unotech</t>
  </si>
  <si>
    <t>Assaí Aracaju</t>
  </si>
  <si>
    <t>SE</t>
  </si>
  <si>
    <t>Assaí São Gonçalo</t>
  </si>
  <si>
    <t>Assaí Araraquara</t>
  </si>
  <si>
    <t>Assaí Tiquatira</t>
  </si>
  <si>
    <t>Assaí Campo Belo</t>
  </si>
  <si>
    <t>RMP Empreendimentos</t>
  </si>
  <si>
    <t>Assaí Brasília Sul</t>
  </si>
  <si>
    <t>Piscina de ondas</t>
  </si>
  <si>
    <t>JHSF</t>
  </si>
  <si>
    <t>Assaí Campina Grande</t>
  </si>
  <si>
    <t>Assaí Piracicaba</t>
  </si>
  <si>
    <t>Assaí BIG LOG Santo André</t>
  </si>
  <si>
    <t>CP II E 40 RS</t>
  </si>
  <si>
    <t>Assaí Belém Associação / Centro</t>
  </si>
  <si>
    <t>PA</t>
  </si>
  <si>
    <t>CP II E</t>
  </si>
  <si>
    <t>Assaí São Caetano do Sul</t>
  </si>
  <si>
    <t>Macplan</t>
  </si>
  <si>
    <t>Assaí Feira de Santana</t>
  </si>
  <si>
    <t>Prologis PLD Castelo Branco</t>
  </si>
  <si>
    <t>Assaí Santo André</t>
  </si>
  <si>
    <t>GLP Cajamar IV</t>
  </si>
  <si>
    <t>LOG PIB Meli</t>
  </si>
  <si>
    <t>MG</t>
  </si>
  <si>
    <t>Assaí Tiradentes</t>
  </si>
  <si>
    <t>Assaí Kennedy Curituba</t>
  </si>
  <si>
    <t>Assaí Rio de Janeiro - Tijuca</t>
  </si>
  <si>
    <t>Assaí Park 2 Brasília</t>
  </si>
  <si>
    <t>Assaí Extra Norte Brasília</t>
  </si>
  <si>
    <t>Assaí Santa Bárbara D'Oeste</t>
  </si>
  <si>
    <t>Assaí Campinas Amoreiras</t>
  </si>
  <si>
    <t>Pietrauno Engenharia</t>
  </si>
  <si>
    <t>Concretus</t>
  </si>
  <si>
    <t>RS</t>
  </si>
  <si>
    <t>CP II Z 32</t>
  </si>
  <si>
    <t>CP II F 32</t>
  </si>
  <si>
    <t>Supermix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</si>
</sst>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8"/>
  <sheetViews>
    <sheetView tabSelected="1" zoomScale="130" zoomScaleNormal="13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2.85546875" customWidth="1"/>
    <col min="2" max="2" width="38.28515625" bestFit="1" customWidth="1"/>
    <col min="3" max="4" width="38.28515625" hidden="1" customWidth="1"/>
    <col min="5" max="5" width="20.5703125" bestFit="1" customWidth="1"/>
    <col min="6" max="6" width="10.42578125" customWidth="1"/>
    <col min="7" max="7" width="14.140625" customWidth="1"/>
    <col min="8" max="8" width="15.42578125" bestFit="1" customWidth="1"/>
    <col min="9" max="9" width="27.7109375" style="2" bestFit="1" customWidth="1"/>
    <col min="10" max="10" width="25" style="6" bestFit="1" customWidth="1"/>
    <col min="11" max="11" width="11" style="5" bestFit="1" customWidth="1"/>
    <col min="12" max="12" width="26.5703125" style="3" bestFit="1" customWidth="1"/>
    <col min="13" max="13" width="33.140625" style="3" bestFit="1" customWidth="1"/>
    <col min="14" max="14" width="33.5703125" style="3" bestFit="1" customWidth="1"/>
    <col min="15" max="15" width="33.140625" style="3" bestFit="1" customWidth="1"/>
    <col min="16" max="16" width="30" style="2" bestFit="1" customWidth="1"/>
    <col min="17" max="17" width="30.42578125" style="2" bestFit="1" customWidth="1"/>
    <col min="18" max="19" width="31.28515625" style="2" bestFit="1" customWidth="1"/>
    <col min="20" max="22" width="32.28515625" style="2" bestFit="1" customWidth="1"/>
    <col min="23" max="23" width="44.85546875" style="2" bestFit="1" customWidth="1"/>
    <col min="24" max="24" width="44.85546875" style="2" customWidth="1"/>
    <col min="25" max="25" width="35.85546875" style="6" bestFit="1" customWidth="1"/>
  </cols>
  <sheetData>
    <row r="1" spans="1:25" s="2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6" t="s">
        <v>23</v>
      </c>
      <c r="Y1" s="6" t="s">
        <v>24</v>
      </c>
    </row>
    <row r="2" spans="1:25" x14ac:dyDescent="0.25">
      <c r="A2" s="1">
        <v>45026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2">
        <v>330</v>
      </c>
      <c r="J2" s="6">
        <f t="shared" ref="J2:J65" si="0">K2*I2</f>
        <v>201.29999999999998</v>
      </c>
      <c r="K2" s="5">
        <v>0.61</v>
      </c>
      <c r="L2" s="3">
        <v>10</v>
      </c>
      <c r="M2" s="3">
        <v>0</v>
      </c>
      <c r="N2" s="3">
        <v>0</v>
      </c>
      <c r="O2" s="3">
        <v>0.3</v>
      </c>
      <c r="P2" s="2">
        <v>0</v>
      </c>
      <c r="Q2" s="2">
        <v>30</v>
      </c>
      <c r="R2" s="2">
        <v>-50</v>
      </c>
      <c r="S2" s="2">
        <v>-180</v>
      </c>
      <c r="T2" s="2">
        <v>-360</v>
      </c>
      <c r="U2" s="2">
        <v>-590</v>
      </c>
      <c r="V2" s="2">
        <v>-760</v>
      </c>
      <c r="W2" s="2">
        <f>U2-V2</f>
        <v>170</v>
      </c>
      <c r="X2" s="6">
        <f>100*T2/V2</f>
        <v>47.368421052631582</v>
      </c>
      <c r="Y2" s="6">
        <f>100*U2/V2</f>
        <v>77.631578947368425</v>
      </c>
    </row>
    <row r="3" spans="1:25" x14ac:dyDescent="0.25">
      <c r="A3" s="1">
        <v>45083</v>
      </c>
      <c r="B3" t="s">
        <v>32</v>
      </c>
      <c r="E3" t="s">
        <v>33</v>
      </c>
      <c r="F3" t="s">
        <v>34</v>
      </c>
      <c r="G3" t="s">
        <v>30</v>
      </c>
      <c r="H3" t="s">
        <v>35</v>
      </c>
      <c r="I3" s="2">
        <v>385</v>
      </c>
      <c r="J3" s="6">
        <f t="shared" si="0"/>
        <v>200.20000000000002</v>
      </c>
      <c r="K3" s="5">
        <v>0.52</v>
      </c>
      <c r="L3" s="3">
        <v>15</v>
      </c>
      <c r="M3" s="3">
        <v>0</v>
      </c>
      <c r="N3" s="3">
        <v>5.5</v>
      </c>
      <c r="O3" s="3">
        <v>0.6</v>
      </c>
      <c r="P3" s="2">
        <v>0</v>
      </c>
      <c r="Q3" s="2">
        <v>40</v>
      </c>
      <c r="R3" s="2">
        <v>80</v>
      </c>
      <c r="S3" s="2">
        <v>120</v>
      </c>
      <c r="T3" s="2">
        <v>-30</v>
      </c>
      <c r="U3" s="2">
        <v>-250</v>
      </c>
      <c r="V3" s="2">
        <v>-500</v>
      </c>
      <c r="W3" s="2">
        <f t="shared" ref="W3:W66" si="1">U3-V3</f>
        <v>250</v>
      </c>
      <c r="X3" s="6">
        <f t="shared" ref="X3:X66" si="2">100*T3/V3</f>
        <v>6</v>
      </c>
      <c r="Y3" s="6">
        <f t="shared" ref="Y3:Y66" si="3">100*U3/V3</f>
        <v>50</v>
      </c>
    </row>
    <row r="4" spans="1:25" x14ac:dyDescent="0.25">
      <c r="A4" s="1">
        <v>44068</v>
      </c>
      <c r="B4" t="s">
        <v>36</v>
      </c>
      <c r="C4" t="s">
        <v>26</v>
      </c>
      <c r="D4" t="s">
        <v>37</v>
      </c>
      <c r="E4" t="s">
        <v>38</v>
      </c>
      <c r="F4" t="s">
        <v>29</v>
      </c>
      <c r="G4" t="s">
        <v>30</v>
      </c>
      <c r="H4" t="s">
        <v>39</v>
      </c>
      <c r="I4" s="2">
        <v>352</v>
      </c>
      <c r="J4" s="6">
        <f t="shared" si="0"/>
        <v>179.52</v>
      </c>
      <c r="K4" s="5">
        <v>0.51</v>
      </c>
      <c r="L4" s="3">
        <v>10</v>
      </c>
      <c r="M4" s="3">
        <v>0</v>
      </c>
      <c r="N4" s="3">
        <v>0</v>
      </c>
      <c r="O4" s="3">
        <v>0</v>
      </c>
      <c r="P4" s="2">
        <v>-10</v>
      </c>
      <c r="Q4" s="2">
        <v>0</v>
      </c>
      <c r="R4" s="2">
        <v>10</v>
      </c>
      <c r="S4" s="2">
        <v>30</v>
      </c>
      <c r="T4" s="2">
        <v>-160</v>
      </c>
      <c r="U4" s="2">
        <v>-310</v>
      </c>
      <c r="V4" s="2">
        <v>-420</v>
      </c>
      <c r="W4" s="2">
        <f t="shared" si="1"/>
        <v>110</v>
      </c>
      <c r="X4" s="6">
        <f t="shared" si="2"/>
        <v>38.095238095238095</v>
      </c>
      <c r="Y4" s="6">
        <f t="shared" si="3"/>
        <v>73.80952380952381</v>
      </c>
    </row>
    <row r="5" spans="1:25" x14ac:dyDescent="0.25">
      <c r="A5" s="1">
        <v>44522</v>
      </c>
      <c r="B5" t="s">
        <v>40</v>
      </c>
      <c r="D5" t="s">
        <v>37</v>
      </c>
      <c r="E5" t="s">
        <v>41</v>
      </c>
      <c r="F5" t="s">
        <v>42</v>
      </c>
      <c r="G5" t="s">
        <v>30</v>
      </c>
      <c r="H5" t="s">
        <v>43</v>
      </c>
      <c r="I5" s="2">
        <v>380</v>
      </c>
      <c r="J5" s="6">
        <f t="shared" si="0"/>
        <v>186.2</v>
      </c>
      <c r="K5" s="5">
        <v>0.49</v>
      </c>
      <c r="L5" s="3">
        <v>15</v>
      </c>
      <c r="M5" s="3">
        <v>0</v>
      </c>
      <c r="N5" s="3">
        <v>0</v>
      </c>
      <c r="O5" s="3">
        <v>0.6</v>
      </c>
      <c r="P5" s="2">
        <v>0</v>
      </c>
      <c r="Q5" s="2">
        <v>-30</v>
      </c>
      <c r="R5" s="2">
        <v>-60</v>
      </c>
      <c r="S5" s="2">
        <v>-120</v>
      </c>
      <c r="T5" s="2">
        <v>-240</v>
      </c>
      <c r="U5" s="2">
        <v>-300</v>
      </c>
      <c r="V5" s="2">
        <v>-410</v>
      </c>
      <c r="W5" s="2">
        <f t="shared" si="1"/>
        <v>110</v>
      </c>
      <c r="X5" s="6">
        <f t="shared" si="2"/>
        <v>58.536585365853661</v>
      </c>
      <c r="Y5" s="6">
        <f t="shared" si="3"/>
        <v>73.170731707317074</v>
      </c>
    </row>
    <row r="6" spans="1:25" x14ac:dyDescent="0.25">
      <c r="A6" s="1">
        <v>45091</v>
      </c>
      <c r="B6" t="s">
        <v>44</v>
      </c>
      <c r="C6" t="s">
        <v>26</v>
      </c>
      <c r="D6" t="s">
        <v>37</v>
      </c>
      <c r="E6" t="s">
        <v>28</v>
      </c>
      <c r="F6" t="s">
        <v>29</v>
      </c>
      <c r="G6" t="s">
        <v>30</v>
      </c>
      <c r="H6" t="s">
        <v>35</v>
      </c>
      <c r="I6" s="2">
        <v>337</v>
      </c>
      <c r="J6" s="6">
        <f t="shared" si="0"/>
        <v>185.35000000000002</v>
      </c>
      <c r="K6" s="5">
        <v>0.55000000000000004</v>
      </c>
      <c r="L6" s="3">
        <v>12.5</v>
      </c>
      <c r="M6" s="3">
        <v>0</v>
      </c>
      <c r="N6" s="3">
        <v>5.5</v>
      </c>
      <c r="O6" s="3">
        <v>0.6</v>
      </c>
      <c r="P6" s="2">
        <v>0</v>
      </c>
      <c r="Q6" s="2">
        <v>30</v>
      </c>
      <c r="R6" s="2">
        <v>60</v>
      </c>
      <c r="S6" s="2">
        <v>100</v>
      </c>
      <c r="T6" s="2">
        <v>-110</v>
      </c>
      <c r="U6" s="2">
        <v>-290</v>
      </c>
      <c r="V6" s="2">
        <v>-400</v>
      </c>
      <c r="W6" s="2">
        <f t="shared" si="1"/>
        <v>110</v>
      </c>
      <c r="X6" s="6">
        <f t="shared" si="2"/>
        <v>27.5</v>
      </c>
      <c r="Y6" s="6">
        <f t="shared" si="3"/>
        <v>72.5</v>
      </c>
    </row>
    <row r="7" spans="1:25" x14ac:dyDescent="0.25">
      <c r="A7" s="1">
        <v>44849</v>
      </c>
      <c r="B7" t="s">
        <v>45</v>
      </c>
      <c r="C7" t="s">
        <v>46</v>
      </c>
      <c r="D7" t="s">
        <v>37</v>
      </c>
      <c r="E7" t="s">
        <v>28</v>
      </c>
      <c r="F7" t="s">
        <v>29</v>
      </c>
      <c r="G7" t="s">
        <v>30</v>
      </c>
      <c r="H7" t="s">
        <v>31</v>
      </c>
      <c r="I7" s="2">
        <v>330</v>
      </c>
      <c r="J7" s="6">
        <f t="shared" si="0"/>
        <v>201.29999999999998</v>
      </c>
      <c r="K7" s="5">
        <v>0.61</v>
      </c>
      <c r="L7" s="3">
        <v>0</v>
      </c>
      <c r="M7" s="3">
        <v>0</v>
      </c>
      <c r="N7" s="3">
        <v>0</v>
      </c>
      <c r="O7" s="3">
        <v>0.3</v>
      </c>
      <c r="P7" s="2">
        <v>0</v>
      </c>
      <c r="Q7" s="2">
        <v>-40</v>
      </c>
      <c r="R7" s="2">
        <v>-100</v>
      </c>
      <c r="S7" s="2">
        <v>-450</v>
      </c>
      <c r="T7" s="2">
        <v>-560</v>
      </c>
      <c r="U7" s="2">
        <v>-870</v>
      </c>
      <c r="V7" s="2">
        <v>-1000</v>
      </c>
      <c r="W7" s="2">
        <f t="shared" si="1"/>
        <v>130</v>
      </c>
      <c r="X7" s="6">
        <f t="shared" si="2"/>
        <v>56</v>
      </c>
      <c r="Y7" s="6">
        <f t="shared" si="3"/>
        <v>87</v>
      </c>
    </row>
    <row r="8" spans="1:25" x14ac:dyDescent="0.25">
      <c r="A8" s="1">
        <v>45083</v>
      </c>
      <c r="B8" t="s">
        <v>32</v>
      </c>
      <c r="E8" t="s">
        <v>33</v>
      </c>
      <c r="F8" t="s">
        <v>34</v>
      </c>
      <c r="G8" t="s">
        <v>30</v>
      </c>
      <c r="H8" t="s">
        <v>35</v>
      </c>
      <c r="I8" s="2">
        <v>385</v>
      </c>
      <c r="J8" s="6">
        <f t="shared" si="0"/>
        <v>200.20000000000002</v>
      </c>
      <c r="K8" s="5">
        <v>0.52</v>
      </c>
      <c r="L8" s="3">
        <v>0</v>
      </c>
      <c r="M8" s="3">
        <v>0</v>
      </c>
      <c r="N8" s="3">
        <v>5.5</v>
      </c>
      <c r="O8" s="3">
        <v>0.6</v>
      </c>
      <c r="P8" s="2">
        <v>0</v>
      </c>
      <c r="Q8" s="2">
        <v>-50</v>
      </c>
      <c r="R8" s="2">
        <v>-130</v>
      </c>
      <c r="S8" s="2">
        <v>-290</v>
      </c>
      <c r="T8" s="2">
        <v>-450</v>
      </c>
      <c r="U8" s="2">
        <v>-580</v>
      </c>
      <c r="V8" s="2">
        <v>-760</v>
      </c>
      <c r="W8" s="2">
        <f t="shared" si="1"/>
        <v>180</v>
      </c>
      <c r="X8" s="6">
        <f t="shared" si="2"/>
        <v>59.210526315789473</v>
      </c>
      <c r="Y8" s="6">
        <f t="shared" si="3"/>
        <v>76.315789473684205</v>
      </c>
    </row>
    <row r="9" spans="1:25" x14ac:dyDescent="0.25">
      <c r="A9" s="1">
        <v>44109</v>
      </c>
      <c r="B9" t="s">
        <v>47</v>
      </c>
      <c r="D9" t="s">
        <v>37</v>
      </c>
      <c r="E9" t="s">
        <v>48</v>
      </c>
      <c r="F9" t="s">
        <v>29</v>
      </c>
      <c r="G9" t="s">
        <v>30</v>
      </c>
      <c r="H9" t="s">
        <v>35</v>
      </c>
      <c r="I9" s="2">
        <v>320</v>
      </c>
      <c r="J9" s="6">
        <f t="shared" si="0"/>
        <v>175.04000000000002</v>
      </c>
      <c r="K9" s="5">
        <v>0.54700000000000004</v>
      </c>
      <c r="L9" s="3">
        <v>12.5</v>
      </c>
      <c r="M9" s="3">
        <v>0</v>
      </c>
      <c r="N9" s="3">
        <v>0</v>
      </c>
      <c r="O9" s="3">
        <v>0.6</v>
      </c>
      <c r="P9" s="2">
        <v>0</v>
      </c>
      <c r="Q9" s="2">
        <v>110</v>
      </c>
      <c r="R9" s="2">
        <v>190</v>
      </c>
      <c r="S9" s="2">
        <v>220</v>
      </c>
      <c r="T9" s="2">
        <v>-40</v>
      </c>
      <c r="U9" s="2">
        <v>-270</v>
      </c>
      <c r="V9" s="2">
        <v>-390</v>
      </c>
      <c r="W9" s="2">
        <f t="shared" si="1"/>
        <v>120</v>
      </c>
      <c r="X9" s="6">
        <f t="shared" si="2"/>
        <v>10.256410256410257</v>
      </c>
      <c r="Y9" s="6">
        <f t="shared" si="3"/>
        <v>69.230769230769226</v>
      </c>
    </row>
    <row r="10" spans="1:25" x14ac:dyDescent="0.25">
      <c r="A10" s="1">
        <v>44840</v>
      </c>
      <c r="B10" t="s">
        <v>45</v>
      </c>
      <c r="C10" t="s">
        <v>46</v>
      </c>
      <c r="D10" t="s">
        <v>37</v>
      </c>
      <c r="E10" t="s">
        <v>28</v>
      </c>
      <c r="F10" t="s">
        <v>29</v>
      </c>
      <c r="G10" t="s">
        <v>30</v>
      </c>
      <c r="H10" t="s">
        <v>31</v>
      </c>
      <c r="I10" s="2">
        <v>330</v>
      </c>
      <c r="J10" s="6">
        <f t="shared" si="0"/>
        <v>201.29999999999998</v>
      </c>
      <c r="K10" s="5">
        <v>0.61</v>
      </c>
      <c r="L10" s="3">
        <v>0</v>
      </c>
      <c r="M10" s="3">
        <v>0</v>
      </c>
      <c r="N10" s="3">
        <v>0</v>
      </c>
      <c r="O10" s="3">
        <v>0.3</v>
      </c>
      <c r="P10" s="2">
        <v>0</v>
      </c>
      <c r="Q10" s="2">
        <v>-90</v>
      </c>
      <c r="R10" s="2">
        <v>-250</v>
      </c>
      <c r="S10" s="2">
        <v>-370</v>
      </c>
      <c r="T10" s="2">
        <v>-500</v>
      </c>
      <c r="U10" s="2">
        <v>-580</v>
      </c>
      <c r="V10" s="2">
        <v>-740</v>
      </c>
      <c r="W10" s="2">
        <f t="shared" si="1"/>
        <v>160</v>
      </c>
      <c r="X10" s="6">
        <f t="shared" si="2"/>
        <v>67.567567567567565</v>
      </c>
      <c r="Y10" s="6">
        <f t="shared" si="3"/>
        <v>78.378378378378372</v>
      </c>
    </row>
    <row r="11" spans="1:25" x14ac:dyDescent="0.25">
      <c r="A11" s="1">
        <v>44109</v>
      </c>
      <c r="B11" t="s">
        <v>47</v>
      </c>
      <c r="D11" t="s">
        <v>37</v>
      </c>
      <c r="E11" t="s">
        <v>48</v>
      </c>
      <c r="F11" t="s">
        <v>29</v>
      </c>
      <c r="G11" t="s">
        <v>30</v>
      </c>
      <c r="H11" t="s">
        <v>35</v>
      </c>
      <c r="I11" s="2">
        <v>327</v>
      </c>
      <c r="J11" s="6">
        <f t="shared" si="0"/>
        <v>179.85000000000002</v>
      </c>
      <c r="K11" s="5">
        <v>0.55000000000000004</v>
      </c>
      <c r="L11" s="3">
        <v>8</v>
      </c>
      <c r="M11" s="3">
        <v>25</v>
      </c>
      <c r="N11" s="3">
        <v>0</v>
      </c>
      <c r="O11" s="3">
        <v>0.6</v>
      </c>
      <c r="P11" s="2">
        <v>0</v>
      </c>
      <c r="Q11" s="2">
        <v>70</v>
      </c>
      <c r="R11" s="2">
        <v>150</v>
      </c>
      <c r="S11" s="2">
        <v>170</v>
      </c>
      <c r="T11" s="2">
        <v>-60</v>
      </c>
      <c r="U11" s="2">
        <v>-260</v>
      </c>
      <c r="V11" s="2">
        <v>-270</v>
      </c>
      <c r="W11" s="2">
        <f t="shared" si="1"/>
        <v>10</v>
      </c>
      <c r="X11" s="6">
        <f t="shared" si="2"/>
        <v>22.222222222222221</v>
      </c>
      <c r="Y11" s="6">
        <f t="shared" si="3"/>
        <v>96.296296296296291</v>
      </c>
    </row>
    <row r="12" spans="1:25" x14ac:dyDescent="0.25">
      <c r="A12" s="1">
        <v>44522</v>
      </c>
      <c r="B12" t="s">
        <v>40</v>
      </c>
      <c r="D12" t="s">
        <v>37</v>
      </c>
      <c r="E12" t="s">
        <v>41</v>
      </c>
      <c r="F12" t="s">
        <v>42</v>
      </c>
      <c r="G12" t="s">
        <v>30</v>
      </c>
      <c r="H12" t="s">
        <v>43</v>
      </c>
      <c r="I12" s="2">
        <v>380</v>
      </c>
      <c r="J12" s="6">
        <f t="shared" si="0"/>
        <v>186.2</v>
      </c>
      <c r="K12" s="5">
        <v>0.49</v>
      </c>
      <c r="L12" s="3">
        <v>0</v>
      </c>
      <c r="M12" s="3">
        <v>0</v>
      </c>
      <c r="N12" s="3">
        <v>0</v>
      </c>
      <c r="O12" s="3">
        <v>0.6</v>
      </c>
      <c r="P12" s="2">
        <v>0</v>
      </c>
      <c r="Q12" s="2">
        <v>-40</v>
      </c>
      <c r="R12" s="2">
        <v>-120</v>
      </c>
      <c r="S12" s="2">
        <v>-170</v>
      </c>
      <c r="T12" s="2">
        <v>-380</v>
      </c>
      <c r="U12" s="2">
        <v>-550</v>
      </c>
      <c r="V12" s="2">
        <v>-660</v>
      </c>
      <c r="W12" s="2">
        <f t="shared" si="1"/>
        <v>110</v>
      </c>
      <c r="X12" s="6">
        <f t="shared" si="2"/>
        <v>57.575757575757578</v>
      </c>
      <c r="Y12" s="6">
        <f t="shared" si="3"/>
        <v>83.333333333333329</v>
      </c>
    </row>
    <row r="13" spans="1:25" x14ac:dyDescent="0.25">
      <c r="A13" s="1">
        <v>44886</v>
      </c>
      <c r="B13" t="s">
        <v>49</v>
      </c>
      <c r="C13" t="s">
        <v>26</v>
      </c>
      <c r="D13" t="s">
        <v>37</v>
      </c>
      <c r="F13" t="s">
        <v>29</v>
      </c>
      <c r="G13" t="s">
        <v>30</v>
      </c>
      <c r="H13" t="s">
        <v>35</v>
      </c>
      <c r="I13" s="2">
        <v>384</v>
      </c>
      <c r="J13" s="6">
        <f t="shared" si="0"/>
        <v>192</v>
      </c>
      <c r="K13" s="5">
        <v>0.5</v>
      </c>
      <c r="L13" s="3">
        <v>12.5</v>
      </c>
      <c r="M13" s="3">
        <v>0</v>
      </c>
      <c r="N13" s="3">
        <v>4.5</v>
      </c>
      <c r="O13" s="3">
        <v>0.6</v>
      </c>
      <c r="P13" s="2">
        <v>0</v>
      </c>
      <c r="Q13" s="2">
        <v>10</v>
      </c>
      <c r="R13" s="2">
        <v>20</v>
      </c>
      <c r="S13" s="2">
        <v>50</v>
      </c>
      <c r="T13" s="2">
        <v>-100</v>
      </c>
      <c r="U13" s="2">
        <v>-220</v>
      </c>
      <c r="V13" s="2">
        <v>-380</v>
      </c>
      <c r="W13" s="2">
        <f t="shared" si="1"/>
        <v>160</v>
      </c>
      <c r="X13" s="6">
        <f t="shared" si="2"/>
        <v>26.315789473684209</v>
      </c>
      <c r="Y13" s="6">
        <f t="shared" si="3"/>
        <v>57.89473684210526</v>
      </c>
    </row>
    <row r="14" spans="1:25" x14ac:dyDescent="0.25">
      <c r="A14" s="1">
        <v>45056</v>
      </c>
      <c r="B14" t="s">
        <v>50</v>
      </c>
      <c r="D14" t="s">
        <v>37</v>
      </c>
      <c r="E14" t="s">
        <v>41</v>
      </c>
      <c r="F14" t="s">
        <v>42</v>
      </c>
      <c r="G14" t="s">
        <v>30</v>
      </c>
      <c r="H14" t="s">
        <v>51</v>
      </c>
      <c r="I14" s="2">
        <v>332</v>
      </c>
      <c r="J14" s="6">
        <f t="shared" si="0"/>
        <v>182.60000000000002</v>
      </c>
      <c r="K14" s="5">
        <v>0.55000000000000004</v>
      </c>
      <c r="L14" s="3">
        <v>0</v>
      </c>
      <c r="M14" s="3">
        <v>0</v>
      </c>
      <c r="N14" s="3">
        <v>0</v>
      </c>
      <c r="O14" s="3">
        <v>0.6</v>
      </c>
      <c r="P14" s="2">
        <v>0</v>
      </c>
      <c r="Q14" s="2">
        <v>-50</v>
      </c>
      <c r="R14" s="2">
        <v>-150</v>
      </c>
      <c r="S14" s="2">
        <v>-270</v>
      </c>
      <c r="T14" s="2">
        <v>-370</v>
      </c>
      <c r="U14" s="2">
        <v>-480</v>
      </c>
      <c r="V14" s="2">
        <v>-650</v>
      </c>
      <c r="W14" s="2">
        <f t="shared" si="1"/>
        <v>170</v>
      </c>
      <c r="X14" s="6">
        <f t="shared" si="2"/>
        <v>56.92307692307692</v>
      </c>
      <c r="Y14" s="6">
        <f t="shared" si="3"/>
        <v>73.84615384615384</v>
      </c>
    </row>
    <row r="15" spans="1:25" x14ac:dyDescent="0.25">
      <c r="A15" s="1">
        <v>44068</v>
      </c>
      <c r="B15" t="s">
        <v>36</v>
      </c>
      <c r="C15" t="s">
        <v>26</v>
      </c>
      <c r="D15" t="s">
        <v>37</v>
      </c>
      <c r="E15" t="s">
        <v>52</v>
      </c>
      <c r="F15" t="s">
        <v>29</v>
      </c>
      <c r="G15" t="s">
        <v>30</v>
      </c>
      <c r="H15" t="s">
        <v>39</v>
      </c>
      <c r="I15" s="2">
        <v>335</v>
      </c>
      <c r="J15" s="6">
        <f t="shared" si="0"/>
        <v>180.9</v>
      </c>
      <c r="K15" s="5">
        <v>0.54</v>
      </c>
      <c r="L15" s="3">
        <v>10</v>
      </c>
      <c r="M15" s="3">
        <v>0</v>
      </c>
      <c r="N15" s="3">
        <v>0</v>
      </c>
      <c r="O15" s="3">
        <v>0</v>
      </c>
      <c r="P15" s="2">
        <v>10</v>
      </c>
      <c r="Q15" s="2">
        <v>0</v>
      </c>
      <c r="R15" s="2">
        <v>20</v>
      </c>
      <c r="S15" s="2">
        <v>20</v>
      </c>
      <c r="T15" s="2">
        <v>-180</v>
      </c>
      <c r="U15" s="2">
        <v>-250</v>
      </c>
      <c r="V15" s="2">
        <v>-370</v>
      </c>
      <c r="W15" s="2">
        <f t="shared" si="1"/>
        <v>120</v>
      </c>
      <c r="X15" s="6">
        <f t="shared" si="2"/>
        <v>48.648648648648646</v>
      </c>
      <c r="Y15" s="6">
        <f t="shared" si="3"/>
        <v>67.567567567567565</v>
      </c>
    </row>
    <row r="16" spans="1:25" x14ac:dyDescent="0.25">
      <c r="A16" s="1">
        <v>44754</v>
      </c>
      <c r="B16" t="s">
        <v>25</v>
      </c>
      <c r="C16" t="s">
        <v>26</v>
      </c>
      <c r="D16" t="s">
        <v>37</v>
      </c>
      <c r="E16" t="s">
        <v>28</v>
      </c>
      <c r="F16" t="s">
        <v>29</v>
      </c>
      <c r="G16" t="s">
        <v>30</v>
      </c>
      <c r="H16" t="s">
        <v>31</v>
      </c>
      <c r="I16" s="2">
        <v>400</v>
      </c>
      <c r="J16" s="6">
        <f t="shared" si="0"/>
        <v>200</v>
      </c>
      <c r="K16" s="5">
        <v>0.5</v>
      </c>
      <c r="L16" s="3">
        <v>0</v>
      </c>
      <c r="M16" s="3">
        <v>0</v>
      </c>
      <c r="N16" s="3">
        <v>0</v>
      </c>
      <c r="O16" s="3">
        <v>0.3</v>
      </c>
      <c r="P16" s="2">
        <v>0</v>
      </c>
      <c r="Q16" s="2">
        <v>-60</v>
      </c>
      <c r="R16" s="2">
        <v>-180</v>
      </c>
      <c r="S16" s="2">
        <v>-300</v>
      </c>
      <c r="T16" s="2">
        <v>-400</v>
      </c>
      <c r="U16" s="2">
        <v>-530</v>
      </c>
      <c r="V16" s="2">
        <v>-630</v>
      </c>
      <c r="W16" s="2">
        <f t="shared" si="1"/>
        <v>100</v>
      </c>
      <c r="X16" s="6">
        <f t="shared" si="2"/>
        <v>63.492063492063494</v>
      </c>
      <c r="Y16" s="6">
        <f t="shared" si="3"/>
        <v>84.126984126984127</v>
      </c>
    </row>
    <row r="17" spans="1:25" x14ac:dyDescent="0.25">
      <c r="A17" s="1">
        <v>44726</v>
      </c>
      <c r="B17" t="s">
        <v>25</v>
      </c>
      <c r="C17" t="s">
        <v>26</v>
      </c>
      <c r="D17" t="s">
        <v>37</v>
      </c>
      <c r="E17" t="s">
        <v>28</v>
      </c>
      <c r="F17" t="s">
        <v>29</v>
      </c>
      <c r="G17" t="s">
        <v>30</v>
      </c>
      <c r="H17" t="s">
        <v>31</v>
      </c>
      <c r="I17" s="2">
        <v>330</v>
      </c>
      <c r="J17" s="6">
        <f t="shared" si="0"/>
        <v>201.29999999999998</v>
      </c>
      <c r="K17" s="5">
        <v>0.61</v>
      </c>
      <c r="L17" s="3">
        <v>10</v>
      </c>
      <c r="M17" s="3">
        <v>0</v>
      </c>
      <c r="N17" s="3">
        <v>0</v>
      </c>
      <c r="O17" s="3">
        <v>0.3</v>
      </c>
      <c r="P17" s="2">
        <v>0</v>
      </c>
      <c r="Q17" s="2">
        <v>30</v>
      </c>
      <c r="R17" s="2">
        <v>70</v>
      </c>
      <c r="S17" s="2">
        <v>110</v>
      </c>
      <c r="T17" s="2">
        <v>-20</v>
      </c>
      <c r="U17" s="2">
        <v>-140</v>
      </c>
      <c r="V17" s="2">
        <v>-370</v>
      </c>
      <c r="W17" s="2">
        <f t="shared" si="1"/>
        <v>230</v>
      </c>
      <c r="X17" s="6">
        <f t="shared" si="2"/>
        <v>5.4054054054054053</v>
      </c>
      <c r="Y17" s="6">
        <f t="shared" si="3"/>
        <v>37.837837837837839</v>
      </c>
    </row>
    <row r="18" spans="1:25" x14ac:dyDescent="0.25">
      <c r="A18" s="1">
        <v>45026</v>
      </c>
      <c r="B18" t="s">
        <v>25</v>
      </c>
      <c r="C18" t="s">
        <v>26</v>
      </c>
      <c r="D18" t="s">
        <v>37</v>
      </c>
      <c r="E18" t="s">
        <v>28</v>
      </c>
      <c r="F18" t="s">
        <v>29</v>
      </c>
      <c r="G18" t="s">
        <v>30</v>
      </c>
      <c r="H18" t="s">
        <v>31</v>
      </c>
      <c r="I18" s="2">
        <v>360</v>
      </c>
      <c r="J18" s="6">
        <f t="shared" si="0"/>
        <v>219.6</v>
      </c>
      <c r="K18" s="5">
        <v>0.61</v>
      </c>
      <c r="L18" s="3">
        <v>0</v>
      </c>
      <c r="M18" s="3">
        <v>0</v>
      </c>
      <c r="N18" s="3">
        <v>0</v>
      </c>
      <c r="O18" s="3">
        <v>0.3</v>
      </c>
      <c r="P18" s="2">
        <v>0</v>
      </c>
      <c r="Q18" s="2">
        <v>-60</v>
      </c>
      <c r="R18" s="2">
        <v>-180</v>
      </c>
      <c r="S18" s="4">
        <v>-300</v>
      </c>
      <c r="T18" s="2">
        <v>-400</v>
      </c>
      <c r="U18" s="2">
        <v>-530</v>
      </c>
      <c r="V18" s="2">
        <v>-630</v>
      </c>
      <c r="W18" s="2">
        <f t="shared" si="1"/>
        <v>100</v>
      </c>
      <c r="X18" s="6">
        <f t="shared" si="2"/>
        <v>63.492063492063494</v>
      </c>
      <c r="Y18" s="6">
        <f t="shared" si="3"/>
        <v>84.126984126984127</v>
      </c>
    </row>
    <row r="19" spans="1:25" x14ac:dyDescent="0.25">
      <c r="A19" s="1">
        <v>44720</v>
      </c>
      <c r="B19" t="s">
        <v>53</v>
      </c>
      <c r="D19" t="s">
        <v>37</v>
      </c>
      <c r="F19" t="s">
        <v>54</v>
      </c>
      <c r="G19" t="s">
        <v>55</v>
      </c>
      <c r="H19" t="s">
        <v>56</v>
      </c>
      <c r="I19" s="2">
        <v>340</v>
      </c>
      <c r="J19" s="6">
        <f t="shared" si="0"/>
        <v>180.20000000000002</v>
      </c>
      <c r="K19" s="5">
        <v>0.53</v>
      </c>
      <c r="L19" s="3">
        <v>10</v>
      </c>
      <c r="M19" s="3">
        <v>0</v>
      </c>
      <c r="N19" s="3">
        <v>5.5</v>
      </c>
      <c r="O19" s="3">
        <v>0.6</v>
      </c>
      <c r="P19" s="2">
        <v>0</v>
      </c>
      <c r="Q19" s="2">
        <v>20</v>
      </c>
      <c r="R19" s="2">
        <v>40</v>
      </c>
      <c r="S19" s="2">
        <v>90</v>
      </c>
      <c r="T19" s="2">
        <v>-30</v>
      </c>
      <c r="U19" s="2">
        <v>-140</v>
      </c>
      <c r="V19" s="2">
        <v>-360</v>
      </c>
      <c r="W19" s="2">
        <f t="shared" si="1"/>
        <v>220</v>
      </c>
      <c r="X19" s="6">
        <f t="shared" si="2"/>
        <v>8.3333333333333339</v>
      </c>
      <c r="Y19" s="6">
        <f t="shared" si="3"/>
        <v>38.888888888888886</v>
      </c>
    </row>
    <row r="20" spans="1:25" x14ac:dyDescent="0.25">
      <c r="A20" s="1">
        <v>44825</v>
      </c>
      <c r="B20" t="s">
        <v>57</v>
      </c>
      <c r="D20" t="s">
        <v>37</v>
      </c>
      <c r="E20" t="s">
        <v>41</v>
      </c>
      <c r="F20" t="s">
        <v>42</v>
      </c>
      <c r="G20" t="s">
        <v>30</v>
      </c>
      <c r="H20" t="s">
        <v>51</v>
      </c>
      <c r="I20" s="2">
        <v>380</v>
      </c>
      <c r="J20" s="6">
        <f t="shared" si="0"/>
        <v>190</v>
      </c>
      <c r="K20" s="5">
        <v>0.5</v>
      </c>
      <c r="L20" s="3">
        <v>12.5</v>
      </c>
      <c r="M20" s="3">
        <v>0</v>
      </c>
      <c r="N20" s="3">
        <v>0</v>
      </c>
      <c r="O20" s="3">
        <v>0.6</v>
      </c>
      <c r="P20" s="2">
        <v>0</v>
      </c>
      <c r="Q20" s="2">
        <v>60</v>
      </c>
      <c r="R20" s="2">
        <v>100</v>
      </c>
      <c r="S20" s="2">
        <v>-20</v>
      </c>
      <c r="T20" s="2">
        <v>-130</v>
      </c>
      <c r="U20" s="2">
        <v>-240</v>
      </c>
      <c r="V20" s="2">
        <v>-360</v>
      </c>
      <c r="W20" s="2">
        <f t="shared" si="1"/>
        <v>120</v>
      </c>
      <c r="X20" s="6">
        <f t="shared" si="2"/>
        <v>36.111111111111114</v>
      </c>
      <c r="Y20" s="6">
        <f t="shared" si="3"/>
        <v>66.666666666666671</v>
      </c>
    </row>
    <row r="21" spans="1:25" x14ac:dyDescent="0.25">
      <c r="A21" s="1">
        <v>44826</v>
      </c>
      <c r="B21" t="s">
        <v>58</v>
      </c>
      <c r="D21" t="s">
        <v>37</v>
      </c>
      <c r="F21" t="s">
        <v>59</v>
      </c>
      <c r="G21" t="s">
        <v>55</v>
      </c>
      <c r="I21" s="2">
        <v>340</v>
      </c>
      <c r="J21" s="6">
        <f t="shared" si="0"/>
        <v>190.4</v>
      </c>
      <c r="K21" s="5">
        <v>0.56000000000000005</v>
      </c>
      <c r="L21" s="3">
        <v>10</v>
      </c>
      <c r="M21" s="3">
        <v>0</v>
      </c>
      <c r="N21" s="3">
        <v>5.5</v>
      </c>
      <c r="O21" s="3">
        <v>0.6</v>
      </c>
      <c r="P21" s="2">
        <v>0</v>
      </c>
      <c r="Q21" s="2">
        <v>30</v>
      </c>
      <c r="R21" s="2">
        <v>60</v>
      </c>
      <c r="S21" s="2">
        <v>100</v>
      </c>
      <c r="T21" s="2">
        <v>-50</v>
      </c>
      <c r="U21" s="2">
        <v>-190</v>
      </c>
      <c r="V21" s="2">
        <v>-360</v>
      </c>
      <c r="W21" s="2">
        <f t="shared" si="1"/>
        <v>170</v>
      </c>
      <c r="X21" s="6">
        <f t="shared" si="2"/>
        <v>13.888888888888889</v>
      </c>
      <c r="Y21" s="6">
        <f t="shared" si="3"/>
        <v>52.777777777777779</v>
      </c>
    </row>
    <row r="22" spans="1:25" x14ac:dyDescent="0.25">
      <c r="A22" s="1">
        <v>44872</v>
      </c>
      <c r="B22" t="s">
        <v>60</v>
      </c>
      <c r="D22" t="s">
        <v>37</v>
      </c>
      <c r="F22" t="s">
        <v>29</v>
      </c>
      <c r="G22" t="s">
        <v>30</v>
      </c>
      <c r="H22" t="s">
        <v>35</v>
      </c>
      <c r="I22" s="2">
        <v>336</v>
      </c>
      <c r="J22" s="6">
        <f t="shared" si="0"/>
        <v>184.8</v>
      </c>
      <c r="K22" s="5">
        <v>0.55000000000000004</v>
      </c>
      <c r="L22" s="3">
        <v>15</v>
      </c>
      <c r="M22" s="3">
        <v>0</v>
      </c>
      <c r="N22" s="3">
        <v>0</v>
      </c>
      <c r="O22" s="3">
        <v>0.6</v>
      </c>
      <c r="P22" s="2">
        <v>0</v>
      </c>
      <c r="Q22" s="2">
        <v>20</v>
      </c>
      <c r="R22" s="2">
        <v>60</v>
      </c>
      <c r="S22" s="2">
        <v>120</v>
      </c>
      <c r="T22" s="2">
        <v>-20</v>
      </c>
      <c r="U22" s="2">
        <v>-210</v>
      </c>
      <c r="V22" s="2">
        <v>-360</v>
      </c>
      <c r="W22" s="2">
        <f t="shared" si="1"/>
        <v>150</v>
      </c>
      <c r="X22" s="6">
        <f t="shared" si="2"/>
        <v>5.5555555555555554</v>
      </c>
      <c r="Y22" s="6">
        <f t="shared" si="3"/>
        <v>58.333333333333336</v>
      </c>
    </row>
    <row r="23" spans="1:25" x14ac:dyDescent="0.25">
      <c r="A23" s="1">
        <v>44888</v>
      </c>
      <c r="B23" t="s">
        <v>61</v>
      </c>
      <c r="D23" t="s">
        <v>37</v>
      </c>
      <c r="E23" t="s">
        <v>62</v>
      </c>
      <c r="F23" t="s">
        <v>63</v>
      </c>
      <c r="G23" t="s">
        <v>55</v>
      </c>
      <c r="H23" t="s">
        <v>31</v>
      </c>
      <c r="I23" s="2">
        <v>424</v>
      </c>
      <c r="J23" s="6">
        <f t="shared" si="0"/>
        <v>216.24</v>
      </c>
      <c r="K23" s="5">
        <v>0.51</v>
      </c>
      <c r="L23" s="3">
        <v>0</v>
      </c>
      <c r="M23" s="3">
        <v>0</v>
      </c>
      <c r="N23" s="3">
        <v>0</v>
      </c>
      <c r="O23" s="3">
        <v>0</v>
      </c>
      <c r="P23" s="2">
        <v>0</v>
      </c>
      <c r="Q23" s="2">
        <v>-70</v>
      </c>
      <c r="R23" s="2">
        <v>-160</v>
      </c>
      <c r="S23" s="2">
        <v>-290</v>
      </c>
      <c r="T23" s="2">
        <v>-380</v>
      </c>
      <c r="U23" s="2">
        <v>-500</v>
      </c>
      <c r="V23" s="2">
        <v>-620</v>
      </c>
      <c r="W23" s="2">
        <f t="shared" si="1"/>
        <v>120</v>
      </c>
      <c r="X23" s="6">
        <f t="shared" si="2"/>
        <v>61.29032258064516</v>
      </c>
      <c r="Y23" s="6">
        <f t="shared" si="3"/>
        <v>80.645161290322577</v>
      </c>
    </row>
    <row r="24" spans="1:25" x14ac:dyDescent="0.25">
      <c r="A24" s="1">
        <v>44893</v>
      </c>
      <c r="B24" t="s">
        <v>64</v>
      </c>
      <c r="D24" t="s">
        <v>37</v>
      </c>
      <c r="F24" t="s">
        <v>29</v>
      </c>
      <c r="G24" t="s">
        <v>30</v>
      </c>
      <c r="H24" t="s">
        <v>35</v>
      </c>
      <c r="I24" s="2">
        <v>360</v>
      </c>
      <c r="J24" s="6">
        <f t="shared" si="0"/>
        <v>198.00000000000003</v>
      </c>
      <c r="K24" s="5">
        <v>0.55000000000000004</v>
      </c>
      <c r="L24" s="3">
        <v>0</v>
      </c>
      <c r="M24" s="3">
        <v>0</v>
      </c>
      <c r="N24" s="3">
        <v>5</v>
      </c>
      <c r="O24" s="3">
        <v>0</v>
      </c>
      <c r="P24" s="2">
        <v>0</v>
      </c>
      <c r="Q24" s="2">
        <v>-60</v>
      </c>
      <c r="R24" s="2">
        <v>-130</v>
      </c>
      <c r="S24" s="2">
        <v>-250</v>
      </c>
      <c r="T24" s="2">
        <v>-370</v>
      </c>
      <c r="U24" s="2">
        <v>-480</v>
      </c>
      <c r="V24" s="2">
        <v>-590</v>
      </c>
      <c r="W24" s="2">
        <f t="shared" si="1"/>
        <v>110</v>
      </c>
      <c r="X24" s="6">
        <f t="shared" si="2"/>
        <v>62.711864406779661</v>
      </c>
      <c r="Y24" s="6">
        <f t="shared" si="3"/>
        <v>81.355932203389827</v>
      </c>
    </row>
    <row r="25" spans="1:25" x14ac:dyDescent="0.25">
      <c r="A25" s="1">
        <v>44409</v>
      </c>
      <c r="B25" t="s">
        <v>65</v>
      </c>
      <c r="D25" t="s">
        <v>37</v>
      </c>
      <c r="E25" t="s">
        <v>66</v>
      </c>
      <c r="F25" t="s">
        <v>67</v>
      </c>
      <c r="G25" t="s">
        <v>68</v>
      </c>
      <c r="H25" t="s">
        <v>56</v>
      </c>
      <c r="I25" s="2">
        <v>380</v>
      </c>
      <c r="J25" s="6">
        <f t="shared" si="0"/>
        <v>178.6</v>
      </c>
      <c r="K25" s="5">
        <v>0.47</v>
      </c>
      <c r="L25" s="3">
        <v>0</v>
      </c>
      <c r="M25" s="3">
        <v>25</v>
      </c>
      <c r="N25" s="3">
        <v>6</v>
      </c>
      <c r="O25" s="3">
        <v>0.6</v>
      </c>
      <c r="P25" s="2">
        <v>0</v>
      </c>
      <c r="Q25" s="2">
        <v>-20</v>
      </c>
      <c r="R25" s="2">
        <v>-70</v>
      </c>
      <c r="S25" s="2">
        <v>-100</v>
      </c>
      <c r="T25" s="2">
        <v>-200</v>
      </c>
      <c r="U25" s="2">
        <v>-460</v>
      </c>
      <c r="V25" s="2">
        <v>-580</v>
      </c>
      <c r="W25" s="2">
        <f t="shared" si="1"/>
        <v>120</v>
      </c>
      <c r="X25" s="6">
        <f t="shared" si="2"/>
        <v>34.482758620689658</v>
      </c>
      <c r="Y25" s="6">
        <f t="shared" si="3"/>
        <v>79.310344827586206</v>
      </c>
    </row>
    <row r="26" spans="1:25" x14ac:dyDescent="0.25">
      <c r="A26" s="1">
        <v>44886</v>
      </c>
      <c r="B26" t="s">
        <v>49</v>
      </c>
      <c r="C26" t="s">
        <v>1</v>
      </c>
      <c r="D26" t="s">
        <v>37</v>
      </c>
      <c r="F26" t="s">
        <v>29</v>
      </c>
      <c r="G26" t="s">
        <v>30</v>
      </c>
      <c r="H26" t="s">
        <v>35</v>
      </c>
      <c r="I26" s="2">
        <v>384</v>
      </c>
      <c r="J26" s="6">
        <f t="shared" si="0"/>
        <v>192</v>
      </c>
      <c r="K26" s="5">
        <v>0.5</v>
      </c>
      <c r="L26" s="3">
        <v>12.5</v>
      </c>
      <c r="M26" s="3">
        <v>0</v>
      </c>
      <c r="N26" s="3">
        <v>4.5</v>
      </c>
      <c r="O26" s="3">
        <v>0.6</v>
      </c>
      <c r="P26" s="2">
        <v>0</v>
      </c>
      <c r="Q26" s="2">
        <v>10</v>
      </c>
      <c r="R26" s="2">
        <v>20</v>
      </c>
      <c r="S26" s="2">
        <v>40</v>
      </c>
      <c r="T26" s="2">
        <v>-120</v>
      </c>
      <c r="U26" s="2">
        <v>-240</v>
      </c>
      <c r="V26" s="2">
        <v>-360</v>
      </c>
      <c r="W26" s="2">
        <f t="shared" si="1"/>
        <v>120</v>
      </c>
      <c r="X26" s="6">
        <f t="shared" si="2"/>
        <v>33.333333333333336</v>
      </c>
      <c r="Y26" s="6">
        <f t="shared" si="3"/>
        <v>66.666666666666671</v>
      </c>
    </row>
    <row r="27" spans="1:25" x14ac:dyDescent="0.25">
      <c r="A27" s="1">
        <v>45001</v>
      </c>
      <c r="B27" t="s">
        <v>69</v>
      </c>
      <c r="F27" t="s">
        <v>29</v>
      </c>
      <c r="G27" t="s">
        <v>30</v>
      </c>
      <c r="H27" t="s">
        <v>31</v>
      </c>
      <c r="I27" s="2">
        <v>336</v>
      </c>
      <c r="J27" s="6">
        <f t="shared" si="0"/>
        <v>184.8</v>
      </c>
      <c r="K27" s="5">
        <v>0.55000000000000004</v>
      </c>
      <c r="L27" s="3">
        <v>12.5</v>
      </c>
      <c r="M27" s="3">
        <v>25</v>
      </c>
      <c r="N27" s="3">
        <v>6</v>
      </c>
      <c r="O27" s="3">
        <v>0.6</v>
      </c>
      <c r="P27" s="2">
        <v>0</v>
      </c>
      <c r="Q27" s="2">
        <v>20</v>
      </c>
      <c r="R27" s="2">
        <v>70</v>
      </c>
      <c r="S27" s="2">
        <v>100</v>
      </c>
      <c r="T27" s="2">
        <v>-50</v>
      </c>
      <c r="U27" s="2">
        <v>-190</v>
      </c>
      <c r="V27" s="2">
        <v>-360</v>
      </c>
      <c r="W27" s="2">
        <f t="shared" si="1"/>
        <v>170</v>
      </c>
      <c r="X27" s="6">
        <f t="shared" si="2"/>
        <v>13.888888888888889</v>
      </c>
      <c r="Y27" s="6">
        <f t="shared" si="3"/>
        <v>52.777777777777779</v>
      </c>
    </row>
    <row r="28" spans="1:25" x14ac:dyDescent="0.25">
      <c r="A28" s="1">
        <v>45056</v>
      </c>
      <c r="B28" t="s">
        <v>50</v>
      </c>
      <c r="D28" t="s">
        <v>37</v>
      </c>
      <c r="E28" t="s">
        <v>41</v>
      </c>
      <c r="F28" t="s">
        <v>42</v>
      </c>
      <c r="G28" t="s">
        <v>30</v>
      </c>
      <c r="H28" t="s">
        <v>51</v>
      </c>
      <c r="I28" s="2">
        <v>332</v>
      </c>
      <c r="J28" s="6">
        <f t="shared" si="0"/>
        <v>182.60000000000002</v>
      </c>
      <c r="K28" s="5">
        <v>0.55000000000000004</v>
      </c>
      <c r="L28" s="3">
        <v>0</v>
      </c>
      <c r="M28" s="3" t="s">
        <v>70</v>
      </c>
      <c r="N28" s="3">
        <v>0</v>
      </c>
      <c r="O28" s="3">
        <v>0.6</v>
      </c>
      <c r="P28" s="2">
        <v>0</v>
      </c>
      <c r="Q28" s="2">
        <v>-50</v>
      </c>
      <c r="R28" s="2">
        <v>-120</v>
      </c>
      <c r="S28" s="2">
        <v>-190</v>
      </c>
      <c r="T28" s="2">
        <v>-310</v>
      </c>
      <c r="U28" s="2">
        <v>-430</v>
      </c>
      <c r="V28" s="2">
        <v>-580</v>
      </c>
      <c r="W28" s="2">
        <f t="shared" si="1"/>
        <v>150</v>
      </c>
      <c r="X28" s="6">
        <f t="shared" si="2"/>
        <v>53.448275862068968</v>
      </c>
      <c r="Y28" s="6">
        <f t="shared" si="3"/>
        <v>74.137931034482762</v>
      </c>
    </row>
    <row r="29" spans="1:25" x14ac:dyDescent="0.25">
      <c r="A29" s="1">
        <v>44068</v>
      </c>
      <c r="B29" t="s">
        <v>36</v>
      </c>
      <c r="C29" t="s">
        <v>26</v>
      </c>
      <c r="D29" t="s">
        <v>37</v>
      </c>
      <c r="E29" t="s">
        <v>71</v>
      </c>
      <c r="F29" t="s">
        <v>29</v>
      </c>
      <c r="G29" t="s">
        <v>30</v>
      </c>
      <c r="H29" t="s">
        <v>72</v>
      </c>
      <c r="I29" s="2">
        <v>327</v>
      </c>
      <c r="J29" s="6">
        <f t="shared" si="0"/>
        <v>170.04</v>
      </c>
      <c r="K29" s="5">
        <v>0.52</v>
      </c>
      <c r="L29" s="3">
        <v>10</v>
      </c>
      <c r="M29" s="3">
        <v>0</v>
      </c>
      <c r="N29" s="3">
        <v>0</v>
      </c>
      <c r="O29" s="3">
        <v>0</v>
      </c>
      <c r="P29" s="2">
        <v>0</v>
      </c>
      <c r="Q29" s="2">
        <v>0</v>
      </c>
      <c r="R29" s="2">
        <v>10</v>
      </c>
      <c r="S29" s="2">
        <v>10</v>
      </c>
      <c r="T29" s="2">
        <v>-110</v>
      </c>
      <c r="U29" s="2">
        <v>-200</v>
      </c>
      <c r="V29" s="2">
        <v>-350</v>
      </c>
      <c r="W29" s="2">
        <f t="shared" si="1"/>
        <v>150</v>
      </c>
      <c r="X29" s="6">
        <f t="shared" si="2"/>
        <v>31.428571428571427</v>
      </c>
      <c r="Y29" s="6">
        <f t="shared" si="3"/>
        <v>57.142857142857146</v>
      </c>
    </row>
    <row r="30" spans="1:25" x14ac:dyDescent="0.25">
      <c r="A30" s="1">
        <v>44718</v>
      </c>
      <c r="B30" t="s">
        <v>73</v>
      </c>
      <c r="C30" t="s">
        <v>26</v>
      </c>
      <c r="D30" t="s">
        <v>37</v>
      </c>
      <c r="E30" t="s">
        <v>74</v>
      </c>
      <c r="F30" t="s">
        <v>29</v>
      </c>
      <c r="G30" t="s">
        <v>30</v>
      </c>
      <c r="H30" t="s">
        <v>35</v>
      </c>
      <c r="I30" s="2">
        <v>345</v>
      </c>
      <c r="J30" s="6">
        <f t="shared" si="0"/>
        <v>189.75000000000003</v>
      </c>
      <c r="K30" s="5">
        <v>0.55000000000000004</v>
      </c>
      <c r="L30" s="3">
        <v>10</v>
      </c>
      <c r="M30" s="3">
        <v>0</v>
      </c>
      <c r="N30" s="3">
        <v>5.5</v>
      </c>
      <c r="O30" s="3">
        <v>0</v>
      </c>
      <c r="P30" s="2">
        <v>0</v>
      </c>
      <c r="Q30" s="2">
        <v>20</v>
      </c>
      <c r="R30" s="2">
        <v>50</v>
      </c>
      <c r="S30" s="2">
        <v>80</v>
      </c>
      <c r="T30" s="2">
        <v>-60</v>
      </c>
      <c r="U30" s="2">
        <v>-200</v>
      </c>
      <c r="V30" s="2">
        <v>-350</v>
      </c>
      <c r="W30" s="2">
        <f t="shared" si="1"/>
        <v>150</v>
      </c>
      <c r="X30" s="6">
        <f t="shared" si="2"/>
        <v>17.142857142857142</v>
      </c>
      <c r="Y30" s="6">
        <f t="shared" si="3"/>
        <v>57.142857142857146</v>
      </c>
    </row>
    <row r="31" spans="1:25" x14ac:dyDescent="0.25">
      <c r="A31" s="1">
        <v>44373</v>
      </c>
      <c r="B31" t="s">
        <v>75</v>
      </c>
      <c r="D31" t="s">
        <v>37</v>
      </c>
      <c r="E31" t="s">
        <v>41</v>
      </c>
      <c r="F31" t="s">
        <v>42</v>
      </c>
      <c r="G31" t="s">
        <v>30</v>
      </c>
      <c r="H31" t="s">
        <v>43</v>
      </c>
      <c r="I31" s="2">
        <v>380</v>
      </c>
      <c r="J31" s="6">
        <f t="shared" si="0"/>
        <v>193.8</v>
      </c>
      <c r="K31" s="5">
        <v>0.51</v>
      </c>
      <c r="L31" s="3">
        <v>0</v>
      </c>
      <c r="M31" s="3">
        <v>25</v>
      </c>
      <c r="N31" s="3">
        <v>5.625</v>
      </c>
      <c r="O31" s="3">
        <v>0.6</v>
      </c>
      <c r="P31" s="2">
        <v>0</v>
      </c>
      <c r="Q31" s="2">
        <v>-100</v>
      </c>
      <c r="R31" s="2">
        <v>-140</v>
      </c>
      <c r="S31" s="2">
        <v>-180</v>
      </c>
      <c r="T31" s="2">
        <v>-310</v>
      </c>
      <c r="U31" s="2">
        <v>-390</v>
      </c>
      <c r="V31" s="2">
        <v>-560</v>
      </c>
      <c r="W31" s="2">
        <f t="shared" si="1"/>
        <v>170</v>
      </c>
      <c r="X31" s="6">
        <f t="shared" si="2"/>
        <v>55.357142857142854</v>
      </c>
      <c r="Y31" s="6">
        <f t="shared" si="3"/>
        <v>69.642857142857139</v>
      </c>
    </row>
    <row r="32" spans="1:25" x14ac:dyDescent="0.25">
      <c r="A32" s="1">
        <v>44915</v>
      </c>
      <c r="B32" t="s">
        <v>76</v>
      </c>
      <c r="C32" t="s">
        <v>26</v>
      </c>
      <c r="D32" t="s">
        <v>37</v>
      </c>
      <c r="F32" t="s">
        <v>29</v>
      </c>
      <c r="G32" t="s">
        <v>30</v>
      </c>
      <c r="H32" t="s">
        <v>35</v>
      </c>
      <c r="I32" s="2">
        <v>337</v>
      </c>
      <c r="J32" s="6">
        <f t="shared" si="0"/>
        <v>185.35000000000002</v>
      </c>
      <c r="K32" s="5">
        <v>0.55000000000000004</v>
      </c>
      <c r="L32" s="3">
        <v>10</v>
      </c>
      <c r="M32" s="3">
        <v>25</v>
      </c>
      <c r="N32" s="3">
        <v>0</v>
      </c>
      <c r="O32" s="3">
        <v>0.6</v>
      </c>
      <c r="P32" s="2">
        <v>0</v>
      </c>
      <c r="Q32" s="2">
        <v>20</v>
      </c>
      <c r="R32" s="2">
        <v>40</v>
      </c>
      <c r="S32" s="2">
        <v>70</v>
      </c>
      <c r="T32" s="2">
        <v>-100</v>
      </c>
      <c r="U32" s="2">
        <v>-230</v>
      </c>
      <c r="V32" s="2">
        <v>-350</v>
      </c>
      <c r="W32" s="2">
        <f t="shared" si="1"/>
        <v>120</v>
      </c>
      <c r="X32" s="6">
        <f t="shared" si="2"/>
        <v>28.571428571428573</v>
      </c>
      <c r="Y32" s="6">
        <f t="shared" si="3"/>
        <v>65.714285714285708</v>
      </c>
    </row>
    <row r="33" spans="1:25" x14ac:dyDescent="0.25">
      <c r="A33" s="1">
        <v>44872</v>
      </c>
      <c r="B33" t="s">
        <v>60</v>
      </c>
      <c r="D33" t="s">
        <v>37</v>
      </c>
      <c r="F33" t="s">
        <v>29</v>
      </c>
      <c r="G33" t="s">
        <v>30</v>
      </c>
      <c r="H33" t="s">
        <v>35</v>
      </c>
      <c r="I33" s="2">
        <v>336</v>
      </c>
      <c r="J33" s="6">
        <f t="shared" si="0"/>
        <v>184.8</v>
      </c>
      <c r="K33" s="5">
        <v>0.55000000000000004</v>
      </c>
      <c r="L33" s="3">
        <v>0</v>
      </c>
      <c r="M33" s="3">
        <v>0</v>
      </c>
      <c r="N33" s="3">
        <v>0</v>
      </c>
      <c r="O33" s="3">
        <v>0.6</v>
      </c>
      <c r="P33" s="2">
        <v>0</v>
      </c>
      <c r="Q33" s="2">
        <v>-60</v>
      </c>
      <c r="R33" s="2">
        <v>-120</v>
      </c>
      <c r="S33" s="2">
        <v>-180</v>
      </c>
      <c r="T33" s="2">
        <v>-270</v>
      </c>
      <c r="U33" s="2">
        <v>-380</v>
      </c>
      <c r="V33" s="2">
        <v>-500</v>
      </c>
      <c r="W33" s="2">
        <f t="shared" si="1"/>
        <v>120</v>
      </c>
      <c r="X33" s="6">
        <f t="shared" si="2"/>
        <v>54</v>
      </c>
      <c r="Y33" s="6">
        <f t="shared" si="3"/>
        <v>76</v>
      </c>
    </row>
    <row r="34" spans="1:25" x14ac:dyDescent="0.25">
      <c r="A34" s="1">
        <v>44460</v>
      </c>
      <c r="B34" t="s">
        <v>77</v>
      </c>
      <c r="D34" t="s">
        <v>37</v>
      </c>
      <c r="E34" t="s">
        <v>78</v>
      </c>
      <c r="F34" t="s">
        <v>79</v>
      </c>
      <c r="G34" t="s">
        <v>55</v>
      </c>
      <c r="H34" t="s">
        <v>43</v>
      </c>
      <c r="I34" s="2">
        <v>370</v>
      </c>
      <c r="J34" s="6">
        <f t="shared" si="0"/>
        <v>203.50000000000003</v>
      </c>
      <c r="K34" s="5">
        <v>0.55000000000000004</v>
      </c>
      <c r="L34" s="3">
        <v>8</v>
      </c>
      <c r="M34" s="3">
        <v>0</v>
      </c>
      <c r="N34" s="3">
        <v>5.5</v>
      </c>
      <c r="O34" s="3">
        <v>0.6</v>
      </c>
      <c r="P34" s="2">
        <v>0</v>
      </c>
      <c r="Q34" s="2">
        <v>70</v>
      </c>
      <c r="R34" s="2">
        <v>120</v>
      </c>
      <c r="S34" s="2">
        <v>170</v>
      </c>
      <c r="T34" s="2">
        <v>-50</v>
      </c>
      <c r="U34" s="2">
        <v>-240</v>
      </c>
      <c r="V34" s="2">
        <v>-380</v>
      </c>
      <c r="W34" s="2">
        <f t="shared" si="1"/>
        <v>140</v>
      </c>
      <c r="X34" s="6">
        <f t="shared" si="2"/>
        <v>13.157894736842104</v>
      </c>
      <c r="Y34" s="6">
        <f t="shared" si="3"/>
        <v>63.157894736842103</v>
      </c>
    </row>
    <row r="35" spans="1:25" x14ac:dyDescent="0.25">
      <c r="A35" s="1">
        <v>44109</v>
      </c>
      <c r="B35" t="s">
        <v>47</v>
      </c>
      <c r="D35" t="s">
        <v>37</v>
      </c>
      <c r="E35" t="s">
        <v>48</v>
      </c>
      <c r="F35" t="s">
        <v>29</v>
      </c>
      <c r="G35" t="s">
        <v>30</v>
      </c>
      <c r="H35" t="s">
        <v>35</v>
      </c>
      <c r="I35" s="2">
        <v>336</v>
      </c>
      <c r="J35" s="6">
        <f t="shared" si="0"/>
        <v>184.8</v>
      </c>
      <c r="K35" s="5">
        <v>0.55000000000000004</v>
      </c>
      <c r="L35" s="3">
        <v>0</v>
      </c>
      <c r="M35" s="3">
        <v>0</v>
      </c>
      <c r="N35" s="3">
        <v>0</v>
      </c>
      <c r="O35" s="3">
        <v>0.6</v>
      </c>
      <c r="P35" s="2">
        <v>0</v>
      </c>
      <c r="Q35" s="2">
        <v>30</v>
      </c>
      <c r="R35" s="2">
        <v>70</v>
      </c>
      <c r="S35" s="2">
        <v>80</v>
      </c>
      <c r="T35" s="2">
        <v>-90</v>
      </c>
      <c r="U35" s="2">
        <v>-280</v>
      </c>
      <c r="V35" s="2">
        <v>-490</v>
      </c>
      <c r="W35" s="2">
        <f t="shared" si="1"/>
        <v>210</v>
      </c>
      <c r="X35" s="6">
        <f t="shared" si="2"/>
        <v>18.367346938775512</v>
      </c>
      <c r="Y35" s="6">
        <f t="shared" si="3"/>
        <v>57.142857142857146</v>
      </c>
    </row>
    <row r="36" spans="1:25" x14ac:dyDescent="0.25">
      <c r="A36" s="1">
        <v>45001</v>
      </c>
      <c r="B36" t="s">
        <v>69</v>
      </c>
      <c r="F36" t="s">
        <v>29</v>
      </c>
      <c r="G36" t="s">
        <v>30</v>
      </c>
      <c r="H36" t="s">
        <v>35</v>
      </c>
      <c r="I36" s="2">
        <v>336</v>
      </c>
      <c r="J36" s="6">
        <f t="shared" si="0"/>
        <v>184.8</v>
      </c>
      <c r="K36" s="5">
        <v>0.55000000000000004</v>
      </c>
      <c r="L36" s="3">
        <v>12.5</v>
      </c>
      <c r="M36" s="3">
        <v>25</v>
      </c>
      <c r="N36" s="3">
        <v>0</v>
      </c>
      <c r="O36" s="3">
        <v>0.6</v>
      </c>
      <c r="P36" s="2">
        <v>0</v>
      </c>
      <c r="Q36" s="2">
        <v>20</v>
      </c>
      <c r="R36" s="2">
        <v>50</v>
      </c>
      <c r="S36" s="2">
        <v>90</v>
      </c>
      <c r="T36" s="2">
        <v>-40</v>
      </c>
      <c r="U36" s="2">
        <v>-160</v>
      </c>
      <c r="V36" s="2">
        <v>-350</v>
      </c>
      <c r="W36" s="2">
        <f t="shared" si="1"/>
        <v>190</v>
      </c>
      <c r="X36" s="6">
        <f t="shared" si="2"/>
        <v>11.428571428571429</v>
      </c>
      <c r="Y36" s="6">
        <f t="shared" si="3"/>
        <v>45.714285714285715</v>
      </c>
    </row>
    <row r="37" spans="1:25" x14ac:dyDescent="0.25">
      <c r="A37" s="1">
        <v>44452</v>
      </c>
      <c r="B37" t="s">
        <v>80</v>
      </c>
      <c r="D37" t="s">
        <v>37</v>
      </c>
      <c r="E37" t="s">
        <v>81</v>
      </c>
      <c r="F37" t="s">
        <v>82</v>
      </c>
      <c r="G37" t="s">
        <v>83</v>
      </c>
      <c r="H37" t="s">
        <v>84</v>
      </c>
      <c r="I37" s="2">
        <v>360</v>
      </c>
      <c r="J37" s="6">
        <f t="shared" si="0"/>
        <v>190.08</v>
      </c>
      <c r="K37" s="5">
        <v>0.52800000000000002</v>
      </c>
      <c r="L37" s="3">
        <v>0</v>
      </c>
      <c r="M37" s="3">
        <v>0</v>
      </c>
      <c r="N37" s="3">
        <v>0</v>
      </c>
      <c r="O37" s="3">
        <v>0.6</v>
      </c>
      <c r="P37" s="2">
        <v>0</v>
      </c>
      <c r="Q37" s="2">
        <v>-70</v>
      </c>
      <c r="R37" s="2">
        <v>-110</v>
      </c>
      <c r="S37" s="2">
        <v>-170</v>
      </c>
      <c r="T37" s="2">
        <v>-220</v>
      </c>
      <c r="U37" s="2">
        <v>-340</v>
      </c>
      <c r="V37" s="2">
        <v>-490</v>
      </c>
      <c r="W37" s="2">
        <f t="shared" si="1"/>
        <v>150</v>
      </c>
      <c r="X37" s="6">
        <f t="shared" si="2"/>
        <v>44.897959183673471</v>
      </c>
      <c r="Y37" s="6">
        <f t="shared" si="3"/>
        <v>69.387755102040813</v>
      </c>
    </row>
    <row r="38" spans="1:25" x14ac:dyDescent="0.25">
      <c r="A38" s="1">
        <v>45009</v>
      </c>
      <c r="B38" t="s">
        <v>85</v>
      </c>
      <c r="E38" t="s">
        <v>86</v>
      </c>
      <c r="F38" t="s">
        <v>29</v>
      </c>
      <c r="G38" t="s">
        <v>30</v>
      </c>
      <c r="H38" t="s">
        <v>35</v>
      </c>
      <c r="I38" s="2">
        <v>336</v>
      </c>
      <c r="J38" s="6">
        <f t="shared" si="0"/>
        <v>184.8</v>
      </c>
      <c r="K38" s="5">
        <v>0.55000000000000004</v>
      </c>
      <c r="L38" s="3">
        <v>12.5</v>
      </c>
      <c r="M38" s="3">
        <v>25</v>
      </c>
      <c r="N38" s="3">
        <v>5.5</v>
      </c>
      <c r="O38" s="3">
        <v>0.6</v>
      </c>
      <c r="P38" s="2">
        <v>0</v>
      </c>
      <c r="Q38" s="2">
        <v>10</v>
      </c>
      <c r="R38" s="2">
        <v>50</v>
      </c>
      <c r="S38" s="2">
        <v>90</v>
      </c>
      <c r="T38" s="2">
        <v>-50</v>
      </c>
      <c r="U38" s="2">
        <v>-180</v>
      </c>
      <c r="V38" s="2">
        <v>-350</v>
      </c>
      <c r="W38" s="2">
        <f t="shared" si="1"/>
        <v>170</v>
      </c>
      <c r="X38" s="6">
        <f t="shared" si="2"/>
        <v>14.285714285714286</v>
      </c>
      <c r="Y38" s="6">
        <f t="shared" si="3"/>
        <v>51.428571428571431</v>
      </c>
    </row>
    <row r="39" spans="1:25" x14ac:dyDescent="0.25">
      <c r="A39" s="1">
        <v>44508</v>
      </c>
      <c r="B39" t="s">
        <v>87</v>
      </c>
      <c r="D39" t="s">
        <v>37</v>
      </c>
      <c r="E39" t="s">
        <v>88</v>
      </c>
      <c r="F39" t="s">
        <v>89</v>
      </c>
      <c r="G39" t="s">
        <v>90</v>
      </c>
      <c r="H39" t="s">
        <v>56</v>
      </c>
      <c r="I39" s="2">
        <v>340</v>
      </c>
      <c r="J39" s="6">
        <f t="shared" si="0"/>
        <v>187.00000000000003</v>
      </c>
      <c r="K39" s="5">
        <v>0.55000000000000004</v>
      </c>
      <c r="L39" s="3">
        <v>0</v>
      </c>
      <c r="M39" s="3">
        <v>0</v>
      </c>
      <c r="N39" s="3">
        <v>0</v>
      </c>
      <c r="O39" s="3">
        <v>0.6</v>
      </c>
      <c r="P39" s="2">
        <v>0</v>
      </c>
      <c r="Q39" s="2">
        <v>90</v>
      </c>
      <c r="R39" s="2">
        <v>30</v>
      </c>
      <c r="S39" s="2">
        <v>10</v>
      </c>
      <c r="T39" s="2">
        <v>-150</v>
      </c>
      <c r="U39" s="2">
        <v>-370</v>
      </c>
      <c r="V39" s="2">
        <v>-490</v>
      </c>
      <c r="W39" s="2">
        <f t="shared" si="1"/>
        <v>120</v>
      </c>
      <c r="X39" s="6">
        <f t="shared" si="2"/>
        <v>30.612244897959183</v>
      </c>
      <c r="Y39" s="6">
        <f t="shared" si="3"/>
        <v>75.510204081632651</v>
      </c>
    </row>
    <row r="40" spans="1:25" x14ac:dyDescent="0.25">
      <c r="A40" s="1">
        <v>45098</v>
      </c>
      <c r="B40" t="s">
        <v>44</v>
      </c>
      <c r="C40" t="s">
        <v>26</v>
      </c>
      <c r="D40" t="s">
        <v>37</v>
      </c>
      <c r="E40" t="s">
        <v>28</v>
      </c>
      <c r="F40" t="s">
        <v>29</v>
      </c>
      <c r="G40" t="s">
        <v>30</v>
      </c>
      <c r="H40" t="s">
        <v>35</v>
      </c>
      <c r="I40" s="2">
        <v>335</v>
      </c>
      <c r="J40" s="6">
        <f t="shared" si="0"/>
        <v>184.25000000000003</v>
      </c>
      <c r="K40" s="5">
        <v>0.55000000000000004</v>
      </c>
      <c r="L40" s="3">
        <v>12.5</v>
      </c>
      <c r="M40" s="3">
        <v>0</v>
      </c>
      <c r="N40" s="3">
        <v>5.5</v>
      </c>
      <c r="O40" s="3">
        <v>0.6</v>
      </c>
      <c r="P40" s="2">
        <v>0</v>
      </c>
      <c r="Q40" s="2">
        <v>30</v>
      </c>
      <c r="R40" s="2">
        <v>60</v>
      </c>
      <c r="S40" s="2">
        <v>100</v>
      </c>
      <c r="T40" s="2">
        <v>-150</v>
      </c>
      <c r="U40" s="2">
        <v>-220</v>
      </c>
      <c r="V40" s="2">
        <v>-350</v>
      </c>
      <c r="W40" s="2">
        <f t="shared" si="1"/>
        <v>130</v>
      </c>
      <c r="X40" s="6">
        <f t="shared" si="2"/>
        <v>42.857142857142854</v>
      </c>
      <c r="Y40" s="6">
        <f t="shared" si="3"/>
        <v>62.857142857142854</v>
      </c>
    </row>
    <row r="41" spans="1:25" x14ac:dyDescent="0.25">
      <c r="A41" s="1">
        <v>44522</v>
      </c>
      <c r="B41" t="s">
        <v>91</v>
      </c>
      <c r="D41" t="s">
        <v>37</v>
      </c>
      <c r="E41" t="s">
        <v>41</v>
      </c>
      <c r="F41" t="s">
        <v>42</v>
      </c>
      <c r="G41" t="s">
        <v>30</v>
      </c>
      <c r="H41" t="s">
        <v>43</v>
      </c>
      <c r="I41" s="2">
        <v>380</v>
      </c>
      <c r="J41" s="6">
        <f t="shared" si="0"/>
        <v>193.8</v>
      </c>
      <c r="K41" s="5">
        <v>0.51</v>
      </c>
      <c r="L41" s="3">
        <v>0</v>
      </c>
      <c r="M41" s="3">
        <v>0</v>
      </c>
      <c r="N41" s="3">
        <v>0</v>
      </c>
      <c r="O41" s="3">
        <v>0.6</v>
      </c>
      <c r="P41" s="2">
        <v>0</v>
      </c>
      <c r="Q41" s="2">
        <v>-90</v>
      </c>
      <c r="R41" s="2">
        <v>-120</v>
      </c>
      <c r="S41" s="2">
        <v>-160</v>
      </c>
      <c r="T41" s="2">
        <v>-210</v>
      </c>
      <c r="U41" s="2">
        <v>-360</v>
      </c>
      <c r="V41" s="2">
        <v>-490</v>
      </c>
      <c r="W41" s="2">
        <f t="shared" si="1"/>
        <v>130</v>
      </c>
      <c r="X41" s="6">
        <f t="shared" si="2"/>
        <v>42.857142857142854</v>
      </c>
      <c r="Y41" s="6">
        <f t="shared" si="3"/>
        <v>73.469387755102048</v>
      </c>
    </row>
    <row r="42" spans="1:25" x14ac:dyDescent="0.25">
      <c r="A42" s="1">
        <v>44721</v>
      </c>
      <c r="B42" t="s">
        <v>92</v>
      </c>
      <c r="D42" t="s">
        <v>37</v>
      </c>
      <c r="E42" t="s">
        <v>88</v>
      </c>
      <c r="F42" t="s">
        <v>29</v>
      </c>
      <c r="G42" t="s">
        <v>30</v>
      </c>
      <c r="H42" t="s">
        <v>35</v>
      </c>
      <c r="I42" s="2">
        <v>336</v>
      </c>
      <c r="J42" s="6">
        <f t="shared" si="0"/>
        <v>184.8</v>
      </c>
      <c r="K42" s="5">
        <v>0.55000000000000004</v>
      </c>
      <c r="L42" s="3">
        <v>15</v>
      </c>
      <c r="M42" s="3">
        <v>0</v>
      </c>
      <c r="N42" s="3">
        <v>0</v>
      </c>
      <c r="O42" s="3">
        <v>0.6</v>
      </c>
      <c r="P42" s="2">
        <v>0</v>
      </c>
      <c r="Q42" s="2">
        <v>50</v>
      </c>
      <c r="R42" s="2">
        <v>80</v>
      </c>
      <c r="S42" s="2">
        <v>130</v>
      </c>
      <c r="T42" s="2">
        <v>-30</v>
      </c>
      <c r="U42" s="2">
        <v>-120</v>
      </c>
      <c r="V42" s="2">
        <v>-340</v>
      </c>
      <c r="W42" s="2">
        <f t="shared" si="1"/>
        <v>220</v>
      </c>
      <c r="X42" s="6">
        <f t="shared" si="2"/>
        <v>8.8235294117647065</v>
      </c>
      <c r="Y42" s="6">
        <f t="shared" si="3"/>
        <v>35.294117647058826</v>
      </c>
    </row>
    <row r="43" spans="1:25" x14ac:dyDescent="0.25">
      <c r="A43" s="1">
        <v>44726</v>
      </c>
      <c r="B43" t="s">
        <v>25</v>
      </c>
      <c r="C43" t="s">
        <v>26</v>
      </c>
      <c r="D43" t="s">
        <v>37</v>
      </c>
      <c r="E43" t="s">
        <v>28</v>
      </c>
      <c r="F43" t="s">
        <v>29</v>
      </c>
      <c r="G43" t="s">
        <v>30</v>
      </c>
      <c r="H43" t="s">
        <v>31</v>
      </c>
      <c r="I43" s="2">
        <v>325</v>
      </c>
      <c r="J43" s="6">
        <f t="shared" si="0"/>
        <v>201.5</v>
      </c>
      <c r="K43" s="5">
        <v>0.62</v>
      </c>
      <c r="L43" s="3">
        <v>10</v>
      </c>
      <c r="M43" s="3">
        <v>0</v>
      </c>
      <c r="N43" s="3">
        <v>0</v>
      </c>
      <c r="O43" s="3">
        <v>0.3</v>
      </c>
      <c r="P43" s="2">
        <v>0</v>
      </c>
      <c r="Q43" s="2">
        <v>20</v>
      </c>
      <c r="R43" s="2">
        <v>60</v>
      </c>
      <c r="S43" s="2">
        <v>90</v>
      </c>
      <c r="T43" s="2">
        <v>-20</v>
      </c>
      <c r="U43" s="2">
        <v>-150</v>
      </c>
      <c r="V43" s="2">
        <v>-340</v>
      </c>
      <c r="W43" s="2">
        <f t="shared" si="1"/>
        <v>190</v>
      </c>
      <c r="X43" s="6">
        <f t="shared" si="2"/>
        <v>5.882352941176471</v>
      </c>
      <c r="Y43" s="6">
        <f t="shared" si="3"/>
        <v>44.117647058823529</v>
      </c>
    </row>
    <row r="44" spans="1:25" x14ac:dyDescent="0.25">
      <c r="A44" s="1">
        <v>44109</v>
      </c>
      <c r="B44" t="s">
        <v>47</v>
      </c>
      <c r="D44" t="s">
        <v>37</v>
      </c>
      <c r="E44" t="s">
        <v>48</v>
      </c>
      <c r="F44" t="s">
        <v>29</v>
      </c>
      <c r="G44" t="s">
        <v>30</v>
      </c>
      <c r="H44" t="s">
        <v>35</v>
      </c>
      <c r="I44" s="2">
        <v>327</v>
      </c>
      <c r="J44" s="6">
        <f t="shared" si="0"/>
        <v>179.85000000000002</v>
      </c>
      <c r="K44" s="5">
        <v>0.55000000000000004</v>
      </c>
      <c r="L44" s="3">
        <v>0</v>
      </c>
      <c r="M44" s="3">
        <v>25</v>
      </c>
      <c r="N44" s="3">
        <v>0</v>
      </c>
      <c r="O44" s="3">
        <v>0.6</v>
      </c>
      <c r="P44" s="2">
        <v>0</v>
      </c>
      <c r="Q44" s="2">
        <v>40</v>
      </c>
      <c r="R44" s="2">
        <v>100</v>
      </c>
      <c r="S44" s="2">
        <v>110</v>
      </c>
      <c r="T44" s="2">
        <v>-60</v>
      </c>
      <c r="U44" s="2">
        <v>-390</v>
      </c>
      <c r="V44" s="2">
        <v>-480</v>
      </c>
      <c r="W44" s="2">
        <f t="shared" si="1"/>
        <v>90</v>
      </c>
      <c r="X44" s="6">
        <f t="shared" si="2"/>
        <v>12.5</v>
      </c>
      <c r="Y44" s="6">
        <f t="shared" si="3"/>
        <v>81.25</v>
      </c>
    </row>
    <row r="45" spans="1:25" x14ac:dyDescent="0.25">
      <c r="A45" s="1">
        <v>44868</v>
      </c>
      <c r="B45" t="s">
        <v>93</v>
      </c>
      <c r="D45" t="s">
        <v>37</v>
      </c>
      <c r="F45" t="s">
        <v>42</v>
      </c>
      <c r="G45" t="s">
        <v>30</v>
      </c>
      <c r="H45" t="s">
        <v>51</v>
      </c>
      <c r="I45" s="2">
        <v>380</v>
      </c>
      <c r="J45" s="6">
        <f t="shared" si="0"/>
        <v>193.8</v>
      </c>
      <c r="K45" s="5">
        <v>0.51</v>
      </c>
      <c r="L45" s="3">
        <v>12.5</v>
      </c>
      <c r="M45" s="3">
        <v>0</v>
      </c>
      <c r="N45" s="3">
        <v>6</v>
      </c>
      <c r="O45" s="3">
        <v>0.6</v>
      </c>
      <c r="P45" s="2">
        <v>0</v>
      </c>
      <c r="Q45" s="2">
        <v>10</v>
      </c>
      <c r="R45" s="2">
        <v>40</v>
      </c>
      <c r="S45" s="2">
        <v>70</v>
      </c>
      <c r="T45" s="2">
        <v>-70</v>
      </c>
      <c r="U45" s="2">
        <v>-210</v>
      </c>
      <c r="V45" s="2">
        <v>-340</v>
      </c>
      <c r="W45" s="2">
        <f t="shared" si="1"/>
        <v>130</v>
      </c>
      <c r="X45" s="6">
        <f t="shared" si="2"/>
        <v>20.588235294117649</v>
      </c>
      <c r="Y45" s="6">
        <f t="shared" si="3"/>
        <v>61.764705882352942</v>
      </c>
    </row>
    <row r="46" spans="1:25" x14ac:dyDescent="0.25">
      <c r="A46" s="1">
        <v>44596</v>
      </c>
      <c r="B46" t="s">
        <v>94</v>
      </c>
      <c r="C46" t="s">
        <v>26</v>
      </c>
      <c r="D46" t="s">
        <v>37</v>
      </c>
      <c r="F46" t="s">
        <v>95</v>
      </c>
      <c r="G46" t="s">
        <v>90</v>
      </c>
      <c r="H46" t="s">
        <v>31</v>
      </c>
      <c r="I46" s="2">
        <v>350</v>
      </c>
      <c r="J46" s="6">
        <f t="shared" si="0"/>
        <v>189</v>
      </c>
      <c r="K46" s="5">
        <v>0.54</v>
      </c>
      <c r="L46" s="3">
        <v>0</v>
      </c>
      <c r="M46" s="3">
        <v>25</v>
      </c>
      <c r="N46" s="3">
        <v>0</v>
      </c>
      <c r="O46" s="3">
        <v>0.6</v>
      </c>
      <c r="P46" s="2">
        <v>0</v>
      </c>
      <c r="Q46" s="2">
        <v>10</v>
      </c>
      <c r="R46" s="2">
        <v>-10</v>
      </c>
      <c r="S46" s="2">
        <v>-60</v>
      </c>
      <c r="T46" s="2">
        <v>-200</v>
      </c>
      <c r="U46" s="2">
        <v>-400</v>
      </c>
      <c r="V46" s="2">
        <v>-480</v>
      </c>
      <c r="W46" s="2">
        <f t="shared" si="1"/>
        <v>80</v>
      </c>
      <c r="X46" s="6">
        <f t="shared" si="2"/>
        <v>41.666666666666664</v>
      </c>
      <c r="Y46" s="6">
        <f t="shared" si="3"/>
        <v>83.333333333333329</v>
      </c>
    </row>
    <row r="47" spans="1:25" x14ac:dyDescent="0.25">
      <c r="A47" s="1">
        <v>44508</v>
      </c>
      <c r="B47" t="s">
        <v>87</v>
      </c>
      <c r="D47" t="s">
        <v>37</v>
      </c>
      <c r="E47" t="s">
        <v>88</v>
      </c>
      <c r="F47" t="s">
        <v>89</v>
      </c>
      <c r="G47" t="s">
        <v>90</v>
      </c>
      <c r="H47" t="s">
        <v>56</v>
      </c>
      <c r="I47" s="2">
        <v>340</v>
      </c>
      <c r="J47" s="6">
        <f t="shared" si="0"/>
        <v>187.00000000000003</v>
      </c>
      <c r="K47" s="5">
        <v>0.55000000000000004</v>
      </c>
      <c r="L47" s="3">
        <v>10</v>
      </c>
      <c r="M47" s="3">
        <v>0</v>
      </c>
      <c r="N47" s="3">
        <v>0</v>
      </c>
      <c r="O47" s="3">
        <v>0.6</v>
      </c>
      <c r="P47" s="2">
        <v>0</v>
      </c>
      <c r="Q47" s="2">
        <v>160</v>
      </c>
      <c r="R47" s="2">
        <v>140</v>
      </c>
      <c r="S47" s="2">
        <v>110</v>
      </c>
      <c r="T47" s="2">
        <v>-30</v>
      </c>
      <c r="U47" s="2">
        <v>-220</v>
      </c>
      <c r="V47" s="2">
        <v>-330</v>
      </c>
      <c r="W47" s="2">
        <f t="shared" si="1"/>
        <v>110</v>
      </c>
      <c r="X47" s="6">
        <f t="shared" si="2"/>
        <v>9.0909090909090917</v>
      </c>
      <c r="Y47" s="6">
        <f t="shared" si="3"/>
        <v>66.666666666666671</v>
      </c>
    </row>
    <row r="48" spans="1:25" x14ac:dyDescent="0.25">
      <c r="A48" s="1">
        <v>44803</v>
      </c>
      <c r="B48" t="s">
        <v>96</v>
      </c>
      <c r="D48" t="s">
        <v>37</v>
      </c>
      <c r="F48" t="s">
        <v>29</v>
      </c>
      <c r="G48" t="s">
        <v>30</v>
      </c>
      <c r="H48" t="s">
        <v>43</v>
      </c>
      <c r="I48" s="2">
        <v>336</v>
      </c>
      <c r="J48" s="6">
        <f t="shared" si="0"/>
        <v>184.8</v>
      </c>
      <c r="K48" s="5">
        <v>0.55000000000000004</v>
      </c>
      <c r="L48" s="3">
        <v>0</v>
      </c>
      <c r="M48" s="3">
        <v>0</v>
      </c>
      <c r="N48" s="3">
        <v>5.5</v>
      </c>
      <c r="O48" s="3">
        <v>0.6</v>
      </c>
      <c r="P48" s="2">
        <v>0</v>
      </c>
      <c r="Q48" s="2">
        <v>-50</v>
      </c>
      <c r="R48" s="2">
        <v>-100</v>
      </c>
      <c r="S48" s="2">
        <v>-160</v>
      </c>
      <c r="T48" s="2">
        <v>-250</v>
      </c>
      <c r="U48" s="2">
        <v>-350</v>
      </c>
      <c r="V48" s="2">
        <v>-480</v>
      </c>
      <c r="W48" s="2">
        <f t="shared" si="1"/>
        <v>130</v>
      </c>
      <c r="X48" s="6">
        <f t="shared" si="2"/>
        <v>52.083333333333336</v>
      </c>
      <c r="Y48" s="6">
        <f t="shared" si="3"/>
        <v>72.916666666666671</v>
      </c>
    </row>
    <row r="49" spans="1:25" x14ac:dyDescent="0.25">
      <c r="A49" s="1">
        <v>44571</v>
      </c>
      <c r="B49" t="s">
        <v>97</v>
      </c>
      <c r="D49" t="s">
        <v>37</v>
      </c>
      <c r="E49" t="s">
        <v>88</v>
      </c>
      <c r="F49" t="s">
        <v>29</v>
      </c>
      <c r="G49" t="s">
        <v>30</v>
      </c>
      <c r="H49" t="s">
        <v>35</v>
      </c>
      <c r="I49" s="2">
        <v>336</v>
      </c>
      <c r="J49" s="6">
        <f t="shared" si="0"/>
        <v>184.8</v>
      </c>
      <c r="K49" s="5">
        <v>0.55000000000000004</v>
      </c>
      <c r="L49" s="3">
        <v>10</v>
      </c>
      <c r="M49" s="3">
        <v>25</v>
      </c>
      <c r="N49" s="3">
        <v>4</v>
      </c>
      <c r="O49" s="3">
        <v>0.6</v>
      </c>
      <c r="P49" s="2">
        <v>0</v>
      </c>
      <c r="Q49" s="2">
        <v>40</v>
      </c>
      <c r="R49" s="2">
        <v>80</v>
      </c>
      <c r="S49" s="2">
        <v>110</v>
      </c>
      <c r="T49" s="2">
        <v>-50</v>
      </c>
      <c r="U49" s="2">
        <v>-140</v>
      </c>
      <c r="V49" s="2">
        <v>-330</v>
      </c>
      <c r="W49" s="2">
        <f t="shared" si="1"/>
        <v>190</v>
      </c>
      <c r="X49" s="6">
        <f t="shared" si="2"/>
        <v>15.151515151515152</v>
      </c>
      <c r="Y49" s="6">
        <f t="shared" si="3"/>
        <v>42.424242424242422</v>
      </c>
    </row>
    <row r="50" spans="1:25" x14ac:dyDescent="0.25">
      <c r="A50" s="1">
        <v>44426</v>
      </c>
      <c r="B50" t="s">
        <v>98</v>
      </c>
      <c r="C50" t="s">
        <v>26</v>
      </c>
      <c r="D50" t="s">
        <v>37</v>
      </c>
      <c r="E50" t="s">
        <v>99</v>
      </c>
      <c r="F50" t="s">
        <v>29</v>
      </c>
      <c r="G50" t="s">
        <v>30</v>
      </c>
      <c r="H50" t="s">
        <v>31</v>
      </c>
      <c r="I50" s="2">
        <v>336</v>
      </c>
      <c r="J50" s="6">
        <f t="shared" si="0"/>
        <v>184.8</v>
      </c>
      <c r="K50" s="5">
        <v>0.55000000000000004</v>
      </c>
      <c r="L50" s="3">
        <v>0</v>
      </c>
      <c r="M50" s="3">
        <v>25</v>
      </c>
      <c r="N50" s="3">
        <v>0</v>
      </c>
      <c r="O50" s="3">
        <v>0.6</v>
      </c>
      <c r="P50" s="2">
        <v>0</v>
      </c>
      <c r="Q50" s="2">
        <v>-120</v>
      </c>
      <c r="R50" s="2">
        <v>-150</v>
      </c>
      <c r="S50" s="2">
        <v>-180</v>
      </c>
      <c r="T50" s="2">
        <v>-250</v>
      </c>
      <c r="U50" s="2">
        <v>-300</v>
      </c>
      <c r="V50" s="2">
        <v>-470</v>
      </c>
      <c r="W50" s="2">
        <f t="shared" si="1"/>
        <v>170</v>
      </c>
      <c r="X50" s="6">
        <f t="shared" si="2"/>
        <v>53.191489361702125</v>
      </c>
      <c r="Y50" s="6">
        <f t="shared" si="3"/>
        <v>63.829787234042556</v>
      </c>
    </row>
    <row r="51" spans="1:25" x14ac:dyDescent="0.25">
      <c r="A51" s="1">
        <v>44733</v>
      </c>
      <c r="B51" t="s">
        <v>100</v>
      </c>
      <c r="D51" t="s">
        <v>37</v>
      </c>
      <c r="F51" t="s">
        <v>101</v>
      </c>
      <c r="G51" t="s">
        <v>68</v>
      </c>
      <c r="H51" t="s">
        <v>31</v>
      </c>
      <c r="I51" s="2">
        <v>360</v>
      </c>
      <c r="J51" s="6">
        <f t="shared" si="0"/>
        <v>194.4</v>
      </c>
      <c r="K51" s="5">
        <v>0.54</v>
      </c>
      <c r="L51" s="3">
        <v>12</v>
      </c>
      <c r="M51" s="3">
        <v>0</v>
      </c>
      <c r="N51" s="3">
        <v>5.625</v>
      </c>
      <c r="O51" s="3">
        <v>0.6</v>
      </c>
      <c r="P51" s="2">
        <v>0</v>
      </c>
      <c r="Q51" s="2">
        <v>30</v>
      </c>
      <c r="R51" s="2">
        <v>60</v>
      </c>
      <c r="S51" s="2">
        <v>90</v>
      </c>
      <c r="T51" s="2">
        <v>-30</v>
      </c>
      <c r="U51" s="2">
        <v>-160</v>
      </c>
      <c r="V51" s="2">
        <v>-330</v>
      </c>
      <c r="W51" s="2">
        <f t="shared" si="1"/>
        <v>170</v>
      </c>
      <c r="X51" s="6">
        <f t="shared" si="2"/>
        <v>9.0909090909090917</v>
      </c>
      <c r="Y51" s="6">
        <f t="shared" si="3"/>
        <v>48.484848484848484</v>
      </c>
    </row>
    <row r="52" spans="1:25" x14ac:dyDescent="0.25">
      <c r="A52" s="1">
        <v>44597</v>
      </c>
      <c r="B52" t="s">
        <v>102</v>
      </c>
      <c r="D52" t="s">
        <v>37</v>
      </c>
      <c r="F52" t="s">
        <v>103</v>
      </c>
      <c r="G52" t="s">
        <v>55</v>
      </c>
      <c r="H52" t="s">
        <v>31</v>
      </c>
      <c r="I52" s="2">
        <v>336</v>
      </c>
      <c r="J52" s="6">
        <f t="shared" si="0"/>
        <v>184.8</v>
      </c>
      <c r="K52" s="5">
        <v>0.55000000000000004</v>
      </c>
      <c r="L52" s="3">
        <v>0</v>
      </c>
      <c r="M52" s="3">
        <v>25</v>
      </c>
      <c r="N52" s="3">
        <v>0</v>
      </c>
      <c r="O52" s="3">
        <v>0</v>
      </c>
      <c r="P52" s="2">
        <v>0</v>
      </c>
      <c r="Q52" s="2">
        <v>-120</v>
      </c>
      <c r="R52" s="2">
        <v>-150</v>
      </c>
      <c r="S52" s="2">
        <v>-180</v>
      </c>
      <c r="T52" s="2">
        <v>-250</v>
      </c>
      <c r="U52" s="2">
        <v>-300</v>
      </c>
      <c r="V52" s="2">
        <v>-470</v>
      </c>
      <c r="W52" s="2">
        <f t="shared" si="1"/>
        <v>170</v>
      </c>
      <c r="X52" s="6">
        <f t="shared" si="2"/>
        <v>53.191489361702125</v>
      </c>
      <c r="Y52" s="6">
        <f t="shared" si="3"/>
        <v>63.829787234042556</v>
      </c>
    </row>
    <row r="53" spans="1:25" x14ac:dyDescent="0.25">
      <c r="A53" s="1">
        <v>44790</v>
      </c>
      <c r="B53" t="s">
        <v>104</v>
      </c>
      <c r="D53" t="s">
        <v>37</v>
      </c>
      <c r="F53" t="s">
        <v>101</v>
      </c>
      <c r="G53" t="s">
        <v>68</v>
      </c>
      <c r="H53" t="s">
        <v>105</v>
      </c>
      <c r="I53" s="2">
        <v>380</v>
      </c>
      <c r="J53" s="6">
        <f t="shared" si="0"/>
        <v>193.8</v>
      </c>
      <c r="K53" s="5">
        <v>0.51</v>
      </c>
      <c r="L53" s="3">
        <v>12</v>
      </c>
      <c r="M53" s="3">
        <v>0</v>
      </c>
      <c r="N53" s="3">
        <v>0</v>
      </c>
      <c r="O53" s="3">
        <v>0.6</v>
      </c>
      <c r="P53" s="2">
        <v>0</v>
      </c>
      <c r="Q53" s="2">
        <v>40</v>
      </c>
      <c r="R53" s="2">
        <v>90</v>
      </c>
      <c r="S53" s="2">
        <v>130</v>
      </c>
      <c r="T53" s="2">
        <v>-60</v>
      </c>
      <c r="U53" s="2">
        <v>-190</v>
      </c>
      <c r="V53" s="2">
        <v>-330</v>
      </c>
      <c r="W53" s="2">
        <f t="shared" si="1"/>
        <v>140</v>
      </c>
      <c r="X53" s="6">
        <f t="shared" si="2"/>
        <v>18.181818181818183</v>
      </c>
      <c r="Y53" s="6">
        <f t="shared" si="3"/>
        <v>57.575757575757578</v>
      </c>
    </row>
    <row r="54" spans="1:25" x14ac:dyDescent="0.25">
      <c r="A54" s="1">
        <v>44825</v>
      </c>
      <c r="B54" t="s">
        <v>57</v>
      </c>
      <c r="D54" t="s">
        <v>37</v>
      </c>
      <c r="E54" t="s">
        <v>41</v>
      </c>
      <c r="F54" t="s">
        <v>42</v>
      </c>
      <c r="G54" t="s">
        <v>30</v>
      </c>
      <c r="H54" t="s">
        <v>51</v>
      </c>
      <c r="I54" s="2">
        <v>380</v>
      </c>
      <c r="J54" s="6">
        <f t="shared" si="0"/>
        <v>190</v>
      </c>
      <c r="K54" s="5">
        <v>0.5</v>
      </c>
      <c r="L54" s="3">
        <v>0</v>
      </c>
      <c r="M54" s="3">
        <v>0</v>
      </c>
      <c r="N54" s="3">
        <v>0</v>
      </c>
      <c r="O54" s="3">
        <v>0.6</v>
      </c>
      <c r="P54" s="2">
        <v>0</v>
      </c>
      <c r="Q54" s="2">
        <v>-60</v>
      </c>
      <c r="R54" s="2">
        <v>-120</v>
      </c>
      <c r="S54" s="2">
        <v>-170</v>
      </c>
      <c r="T54" s="2">
        <v>-280</v>
      </c>
      <c r="U54" s="2">
        <v>-350</v>
      </c>
      <c r="V54" s="2">
        <v>-470</v>
      </c>
      <c r="W54" s="2">
        <f t="shared" si="1"/>
        <v>120</v>
      </c>
      <c r="X54" s="6">
        <f t="shared" si="2"/>
        <v>59.574468085106382</v>
      </c>
      <c r="Y54" s="6">
        <f t="shared" si="3"/>
        <v>74.468085106382972</v>
      </c>
    </row>
    <row r="55" spans="1:25" x14ac:dyDescent="0.25">
      <c r="A55" s="1">
        <v>44873</v>
      </c>
      <c r="B55" t="s">
        <v>106</v>
      </c>
      <c r="D55" t="s">
        <v>37</v>
      </c>
      <c r="E55" t="s">
        <v>88</v>
      </c>
      <c r="F55" t="s">
        <v>79</v>
      </c>
      <c r="G55" t="s">
        <v>55</v>
      </c>
      <c r="H55" t="s">
        <v>43</v>
      </c>
      <c r="I55" s="2">
        <v>365</v>
      </c>
      <c r="J55" s="6">
        <f t="shared" si="0"/>
        <v>186.15</v>
      </c>
      <c r="K55" s="5">
        <v>0.51</v>
      </c>
      <c r="L55" s="3">
        <v>12.5</v>
      </c>
      <c r="M55" s="3">
        <v>0</v>
      </c>
      <c r="N55" s="3">
        <v>0</v>
      </c>
      <c r="O55" s="3">
        <v>0.6</v>
      </c>
      <c r="P55" s="2">
        <v>0</v>
      </c>
      <c r="Q55" s="2">
        <v>20</v>
      </c>
      <c r="R55" s="2">
        <v>60</v>
      </c>
      <c r="S55" s="2">
        <v>100</v>
      </c>
      <c r="T55" s="2">
        <v>-40</v>
      </c>
      <c r="U55" s="2">
        <v>-130</v>
      </c>
      <c r="V55" s="2">
        <v>-330</v>
      </c>
      <c r="W55" s="2">
        <f t="shared" si="1"/>
        <v>200</v>
      </c>
      <c r="X55" s="6">
        <f t="shared" si="2"/>
        <v>12.121212121212121</v>
      </c>
      <c r="Y55" s="6">
        <f t="shared" si="3"/>
        <v>39.393939393939391</v>
      </c>
    </row>
    <row r="56" spans="1:25" x14ac:dyDescent="0.25">
      <c r="A56" s="1">
        <v>44848</v>
      </c>
      <c r="B56" t="s">
        <v>45</v>
      </c>
      <c r="C56" t="s">
        <v>46</v>
      </c>
      <c r="D56" t="s">
        <v>37</v>
      </c>
      <c r="E56" t="s">
        <v>28</v>
      </c>
      <c r="F56" t="s">
        <v>29</v>
      </c>
      <c r="G56" t="s">
        <v>30</v>
      </c>
      <c r="H56" t="s">
        <v>31</v>
      </c>
      <c r="I56" s="2">
        <v>330</v>
      </c>
      <c r="J56" s="6">
        <f t="shared" si="0"/>
        <v>201.29999999999998</v>
      </c>
      <c r="K56" s="5">
        <v>0.61</v>
      </c>
      <c r="L56" s="3">
        <v>0</v>
      </c>
      <c r="M56" s="3">
        <v>0</v>
      </c>
      <c r="N56" s="3">
        <v>0</v>
      </c>
      <c r="O56" s="3">
        <v>0.3</v>
      </c>
      <c r="P56" s="2">
        <v>0</v>
      </c>
      <c r="Q56" s="2">
        <v>0</v>
      </c>
      <c r="R56" s="2">
        <v>10</v>
      </c>
      <c r="S56" s="2">
        <v>20</v>
      </c>
      <c r="T56" s="2">
        <v>-140</v>
      </c>
      <c r="U56" s="2">
        <v>-290</v>
      </c>
      <c r="V56" s="2">
        <v>-470</v>
      </c>
      <c r="W56" s="2">
        <f t="shared" si="1"/>
        <v>180</v>
      </c>
      <c r="X56" s="6">
        <f t="shared" si="2"/>
        <v>29.787234042553191</v>
      </c>
      <c r="Y56" s="6">
        <f t="shared" si="3"/>
        <v>61.702127659574465</v>
      </c>
    </row>
    <row r="57" spans="1:25" x14ac:dyDescent="0.25">
      <c r="A57" s="1">
        <v>44893</v>
      </c>
      <c r="B57" t="s">
        <v>64</v>
      </c>
      <c r="D57" t="s">
        <v>37</v>
      </c>
      <c r="F57" t="s">
        <v>29</v>
      </c>
      <c r="G57" t="s">
        <v>30</v>
      </c>
      <c r="H57" t="s">
        <v>35</v>
      </c>
      <c r="I57" s="2">
        <v>360</v>
      </c>
      <c r="J57" s="6">
        <f t="shared" si="0"/>
        <v>198.00000000000003</v>
      </c>
      <c r="K57" s="5">
        <v>0.55000000000000004</v>
      </c>
      <c r="L57" s="3">
        <v>15</v>
      </c>
      <c r="M57" s="3">
        <v>0</v>
      </c>
      <c r="N57" s="3">
        <v>5</v>
      </c>
      <c r="O57" s="3">
        <v>0</v>
      </c>
      <c r="P57" s="2">
        <v>0</v>
      </c>
      <c r="Q57" s="2">
        <v>30</v>
      </c>
      <c r="R57" s="2">
        <v>60</v>
      </c>
      <c r="S57" s="2">
        <v>100</v>
      </c>
      <c r="T57" s="2">
        <v>-60</v>
      </c>
      <c r="U57" s="2">
        <v>-180</v>
      </c>
      <c r="V57" s="2">
        <v>-330</v>
      </c>
      <c r="W57" s="2">
        <f t="shared" si="1"/>
        <v>150</v>
      </c>
      <c r="X57" s="6">
        <f t="shared" si="2"/>
        <v>18.181818181818183</v>
      </c>
      <c r="Y57" s="6">
        <f t="shared" si="3"/>
        <v>54.545454545454547</v>
      </c>
    </row>
    <row r="58" spans="1:25" x14ac:dyDescent="0.25">
      <c r="A58" s="1">
        <v>44868</v>
      </c>
      <c r="B58" t="s">
        <v>93</v>
      </c>
      <c r="D58" t="s">
        <v>37</v>
      </c>
      <c r="F58" t="s">
        <v>42</v>
      </c>
      <c r="G58" t="s">
        <v>30</v>
      </c>
      <c r="H58" t="s">
        <v>51</v>
      </c>
      <c r="I58" s="2">
        <v>380</v>
      </c>
      <c r="J58" s="6">
        <f t="shared" si="0"/>
        <v>193.8</v>
      </c>
      <c r="K58" s="5">
        <v>0.51</v>
      </c>
      <c r="L58" s="3">
        <v>0</v>
      </c>
      <c r="M58" s="3">
        <v>0</v>
      </c>
      <c r="N58" s="3">
        <v>6</v>
      </c>
      <c r="O58" s="3">
        <v>0.6</v>
      </c>
      <c r="P58" s="2">
        <v>0</v>
      </c>
      <c r="Q58" s="2">
        <v>-50</v>
      </c>
      <c r="R58" s="2">
        <v>-100</v>
      </c>
      <c r="S58" s="2">
        <v>-160</v>
      </c>
      <c r="T58" s="2">
        <v>-250</v>
      </c>
      <c r="U58" s="2">
        <v>-360</v>
      </c>
      <c r="V58" s="2">
        <v>-470</v>
      </c>
      <c r="W58" s="2">
        <f t="shared" si="1"/>
        <v>110</v>
      </c>
      <c r="X58" s="6">
        <f t="shared" si="2"/>
        <v>53.191489361702125</v>
      </c>
      <c r="Y58" s="6">
        <f t="shared" si="3"/>
        <v>76.59574468085107</v>
      </c>
    </row>
    <row r="59" spans="1:25" x14ac:dyDescent="0.25">
      <c r="A59" s="1">
        <v>45001</v>
      </c>
      <c r="B59" t="s">
        <v>69</v>
      </c>
      <c r="F59" t="s">
        <v>29</v>
      </c>
      <c r="G59" t="s">
        <v>30</v>
      </c>
      <c r="H59" t="s">
        <v>35</v>
      </c>
      <c r="I59" s="2">
        <v>349</v>
      </c>
      <c r="J59" s="6">
        <f t="shared" si="0"/>
        <v>184.97</v>
      </c>
      <c r="K59" s="5">
        <v>0.53</v>
      </c>
      <c r="L59" s="3">
        <v>15</v>
      </c>
      <c r="M59" s="3">
        <v>25</v>
      </c>
      <c r="N59" s="3">
        <v>6</v>
      </c>
      <c r="O59" s="3">
        <v>0.6</v>
      </c>
      <c r="P59" s="2">
        <v>0</v>
      </c>
      <c r="Q59" s="2">
        <v>30</v>
      </c>
      <c r="R59" s="2">
        <v>70</v>
      </c>
      <c r="S59" s="2">
        <v>110</v>
      </c>
      <c r="T59" s="2">
        <v>-20</v>
      </c>
      <c r="U59" s="2">
        <v>-190</v>
      </c>
      <c r="V59" s="2">
        <v>-330</v>
      </c>
      <c r="W59" s="2">
        <f t="shared" si="1"/>
        <v>140</v>
      </c>
      <c r="X59" s="6">
        <f t="shared" si="2"/>
        <v>6.0606060606060606</v>
      </c>
      <c r="Y59" s="6">
        <f t="shared" si="3"/>
        <v>57.575757575757578</v>
      </c>
    </row>
    <row r="60" spans="1:25" x14ac:dyDescent="0.25">
      <c r="A60" s="1">
        <v>44495</v>
      </c>
      <c r="B60" t="s">
        <v>107</v>
      </c>
      <c r="D60" t="s">
        <v>37</v>
      </c>
      <c r="E60" t="s">
        <v>108</v>
      </c>
      <c r="F60" t="s">
        <v>109</v>
      </c>
      <c r="G60" t="s">
        <v>55</v>
      </c>
      <c r="H60" t="s">
        <v>31</v>
      </c>
      <c r="I60" s="2">
        <v>380</v>
      </c>
      <c r="J60" s="6">
        <f t="shared" si="0"/>
        <v>186.2</v>
      </c>
      <c r="K60" s="5">
        <v>0.49</v>
      </c>
      <c r="L60" s="3">
        <v>10</v>
      </c>
      <c r="M60" s="3">
        <v>0</v>
      </c>
      <c r="N60" s="3">
        <v>0</v>
      </c>
      <c r="O60" s="3">
        <v>0.6</v>
      </c>
      <c r="P60" s="2">
        <v>0</v>
      </c>
      <c r="Q60" s="2">
        <v>30</v>
      </c>
      <c r="R60" s="2">
        <v>70</v>
      </c>
      <c r="S60" s="2">
        <v>120</v>
      </c>
      <c r="T60" s="2">
        <v>-90</v>
      </c>
      <c r="U60" s="2">
        <v>-200</v>
      </c>
      <c r="V60" s="2">
        <v>-320</v>
      </c>
      <c r="W60" s="2">
        <f t="shared" si="1"/>
        <v>120</v>
      </c>
      <c r="X60" s="6">
        <f t="shared" si="2"/>
        <v>28.125</v>
      </c>
      <c r="Y60" s="6">
        <f t="shared" si="3"/>
        <v>62.5</v>
      </c>
    </row>
    <row r="61" spans="1:25" x14ac:dyDescent="0.25">
      <c r="A61" s="1">
        <v>44109</v>
      </c>
      <c r="B61" t="s">
        <v>47</v>
      </c>
      <c r="D61" t="s">
        <v>37</v>
      </c>
      <c r="E61" t="s">
        <v>48</v>
      </c>
      <c r="F61" t="s">
        <v>29</v>
      </c>
      <c r="G61" t="s">
        <v>30</v>
      </c>
      <c r="H61" t="s">
        <v>35</v>
      </c>
      <c r="I61" s="2">
        <v>320</v>
      </c>
      <c r="J61" s="6">
        <f t="shared" si="0"/>
        <v>175.04000000000002</v>
      </c>
      <c r="K61" s="5">
        <v>0.54700000000000004</v>
      </c>
      <c r="L61" s="3">
        <v>0</v>
      </c>
      <c r="M61" s="3">
        <v>0</v>
      </c>
      <c r="N61" s="3">
        <v>0</v>
      </c>
      <c r="O61" s="3">
        <v>0.6</v>
      </c>
      <c r="P61" s="2">
        <v>0</v>
      </c>
      <c r="Q61" s="2">
        <v>40</v>
      </c>
      <c r="R61" s="2">
        <v>90</v>
      </c>
      <c r="S61" s="2">
        <v>110</v>
      </c>
      <c r="T61" s="2">
        <v>-80</v>
      </c>
      <c r="U61" s="2">
        <v>-360</v>
      </c>
      <c r="V61" s="2">
        <v>-460</v>
      </c>
      <c r="W61" s="2">
        <f t="shared" si="1"/>
        <v>100</v>
      </c>
      <c r="X61" s="6">
        <f t="shared" si="2"/>
        <v>17.391304347826086</v>
      </c>
      <c r="Y61" s="6">
        <f t="shared" si="3"/>
        <v>78.260869565217391</v>
      </c>
    </row>
    <row r="62" spans="1:25" x14ac:dyDescent="0.25">
      <c r="A62" s="1">
        <v>44571</v>
      </c>
      <c r="B62" t="s">
        <v>97</v>
      </c>
      <c r="D62" t="s">
        <v>37</v>
      </c>
      <c r="E62" t="s">
        <v>88</v>
      </c>
      <c r="F62" t="s">
        <v>29</v>
      </c>
      <c r="G62" t="s">
        <v>30</v>
      </c>
      <c r="H62" t="s">
        <v>35</v>
      </c>
      <c r="I62" s="2">
        <v>336</v>
      </c>
      <c r="J62" s="6">
        <f t="shared" si="0"/>
        <v>184.8</v>
      </c>
      <c r="K62" s="5">
        <v>0.55000000000000004</v>
      </c>
      <c r="L62" s="3">
        <v>0</v>
      </c>
      <c r="M62" s="3">
        <v>25</v>
      </c>
      <c r="N62" s="3">
        <v>0</v>
      </c>
      <c r="O62" s="3">
        <v>0.6</v>
      </c>
      <c r="P62" s="2">
        <v>0</v>
      </c>
      <c r="Q62" s="2">
        <v>-60</v>
      </c>
      <c r="R62" s="2">
        <v>-120</v>
      </c>
      <c r="S62" s="2">
        <v>-170</v>
      </c>
      <c r="T62" s="2">
        <v>-210</v>
      </c>
      <c r="U62" s="2">
        <v>-340</v>
      </c>
      <c r="V62" s="2">
        <v>-460</v>
      </c>
      <c r="W62" s="2">
        <f t="shared" si="1"/>
        <v>120</v>
      </c>
      <c r="X62" s="6">
        <f t="shared" si="2"/>
        <v>45.652173913043477</v>
      </c>
      <c r="Y62" s="6">
        <f t="shared" si="3"/>
        <v>73.913043478260875</v>
      </c>
    </row>
    <row r="63" spans="1:25" x14ac:dyDescent="0.25">
      <c r="A63" s="1">
        <v>44873</v>
      </c>
      <c r="B63" t="s">
        <v>106</v>
      </c>
      <c r="D63" t="s">
        <v>37</v>
      </c>
      <c r="E63" t="s">
        <v>88</v>
      </c>
      <c r="F63" t="s">
        <v>79</v>
      </c>
      <c r="G63" t="s">
        <v>55</v>
      </c>
      <c r="H63" t="s">
        <v>43</v>
      </c>
      <c r="I63" s="2">
        <v>365</v>
      </c>
      <c r="J63" s="6">
        <f t="shared" si="0"/>
        <v>186.15</v>
      </c>
      <c r="K63" s="5">
        <v>0.51</v>
      </c>
      <c r="L63" s="3">
        <v>0</v>
      </c>
      <c r="M63" s="3">
        <v>0</v>
      </c>
      <c r="N63" s="3">
        <v>0</v>
      </c>
      <c r="O63" s="3">
        <v>0.6</v>
      </c>
      <c r="P63" s="2">
        <v>0</v>
      </c>
      <c r="Q63" s="2">
        <v>-40</v>
      </c>
      <c r="R63" s="2">
        <v>-80</v>
      </c>
      <c r="S63" s="2">
        <v>-160</v>
      </c>
      <c r="T63" s="2">
        <v>-230</v>
      </c>
      <c r="U63" s="2">
        <v>-340</v>
      </c>
      <c r="V63" s="2">
        <v>-460</v>
      </c>
      <c r="W63" s="2">
        <f t="shared" si="1"/>
        <v>120</v>
      </c>
      <c r="X63" s="6">
        <f t="shared" si="2"/>
        <v>50</v>
      </c>
      <c r="Y63" s="6">
        <f t="shared" si="3"/>
        <v>73.913043478260875</v>
      </c>
    </row>
    <row r="64" spans="1:25" x14ac:dyDescent="0.25">
      <c r="A64" s="1">
        <v>44596</v>
      </c>
      <c r="B64" t="s">
        <v>94</v>
      </c>
      <c r="C64" t="s">
        <v>26</v>
      </c>
      <c r="D64" t="s">
        <v>37</v>
      </c>
      <c r="F64" t="s">
        <v>95</v>
      </c>
      <c r="G64" t="s">
        <v>90</v>
      </c>
      <c r="H64" t="s">
        <v>31</v>
      </c>
      <c r="I64" s="2">
        <v>350</v>
      </c>
      <c r="J64" s="6">
        <f t="shared" si="0"/>
        <v>189</v>
      </c>
      <c r="K64" s="5">
        <v>0.54</v>
      </c>
      <c r="L64" s="3">
        <v>12.5</v>
      </c>
      <c r="M64" s="3">
        <v>25</v>
      </c>
      <c r="N64" s="3">
        <v>0</v>
      </c>
      <c r="O64" s="3">
        <v>0.6</v>
      </c>
      <c r="P64" s="2">
        <v>0</v>
      </c>
      <c r="Q64" s="2">
        <v>50</v>
      </c>
      <c r="R64" s="2">
        <v>50</v>
      </c>
      <c r="S64" s="2">
        <v>10</v>
      </c>
      <c r="T64" s="2">
        <v>-130</v>
      </c>
      <c r="U64" s="2">
        <v>-280</v>
      </c>
      <c r="V64" s="2">
        <v>-320</v>
      </c>
      <c r="W64" s="2">
        <f t="shared" si="1"/>
        <v>40</v>
      </c>
      <c r="X64" s="6">
        <f t="shared" si="2"/>
        <v>40.625</v>
      </c>
      <c r="Y64" s="6">
        <f t="shared" si="3"/>
        <v>87.5</v>
      </c>
    </row>
    <row r="65" spans="1:25" x14ac:dyDescent="0.25">
      <c r="A65" s="1">
        <v>44719</v>
      </c>
      <c r="B65" t="s">
        <v>73</v>
      </c>
      <c r="C65" t="s">
        <v>26</v>
      </c>
      <c r="D65" t="s">
        <v>37</v>
      </c>
      <c r="E65" t="s">
        <v>74</v>
      </c>
      <c r="F65" t="s">
        <v>29</v>
      </c>
      <c r="G65" t="s">
        <v>30</v>
      </c>
      <c r="H65" t="s">
        <v>35</v>
      </c>
      <c r="I65" s="2">
        <v>345</v>
      </c>
      <c r="J65" s="6">
        <f t="shared" si="0"/>
        <v>189.75000000000003</v>
      </c>
      <c r="K65" s="5">
        <v>0.55000000000000004</v>
      </c>
      <c r="L65" s="3">
        <v>15</v>
      </c>
      <c r="M65" s="3">
        <v>0</v>
      </c>
      <c r="N65" s="3">
        <v>5.5</v>
      </c>
      <c r="O65" s="3">
        <v>0</v>
      </c>
      <c r="P65" s="2">
        <v>0</v>
      </c>
      <c r="Q65" s="2">
        <v>30</v>
      </c>
      <c r="R65" s="2">
        <v>80</v>
      </c>
      <c r="S65" s="2">
        <v>140</v>
      </c>
      <c r="T65" s="2">
        <v>-30</v>
      </c>
      <c r="U65" s="2">
        <v>-130</v>
      </c>
      <c r="V65" s="2">
        <v>-320</v>
      </c>
      <c r="W65" s="2">
        <f t="shared" si="1"/>
        <v>190</v>
      </c>
      <c r="X65" s="6">
        <f t="shared" si="2"/>
        <v>9.375</v>
      </c>
      <c r="Y65" s="6">
        <f t="shared" si="3"/>
        <v>40.625</v>
      </c>
    </row>
    <row r="66" spans="1:25" x14ac:dyDescent="0.25">
      <c r="A66" s="1">
        <v>44452</v>
      </c>
      <c r="B66" t="s">
        <v>80</v>
      </c>
      <c r="D66" t="s">
        <v>37</v>
      </c>
      <c r="E66" t="s">
        <v>81</v>
      </c>
      <c r="F66" t="s">
        <v>82</v>
      </c>
      <c r="G66" t="s">
        <v>83</v>
      </c>
      <c r="H66" t="s">
        <v>84</v>
      </c>
      <c r="I66" s="2">
        <v>380</v>
      </c>
      <c r="J66" s="6">
        <f t="shared" ref="J66:J129" si="4">K66*I66</f>
        <v>197.98000000000002</v>
      </c>
      <c r="K66" s="5">
        <v>0.52100000000000002</v>
      </c>
      <c r="L66" s="3">
        <v>0</v>
      </c>
      <c r="M66" s="3">
        <v>0</v>
      </c>
      <c r="N66" s="3">
        <v>0</v>
      </c>
      <c r="O66" s="3">
        <v>0.6</v>
      </c>
      <c r="P66" s="2">
        <v>0</v>
      </c>
      <c r="Q66" s="2">
        <v>-90</v>
      </c>
      <c r="R66" s="2">
        <v>-140</v>
      </c>
      <c r="S66" s="2">
        <v>-180</v>
      </c>
      <c r="T66" s="2">
        <v>-240</v>
      </c>
      <c r="U66" s="2">
        <v>-330</v>
      </c>
      <c r="V66" s="2">
        <v>-450</v>
      </c>
      <c r="W66" s="2">
        <f t="shared" si="1"/>
        <v>120</v>
      </c>
      <c r="X66" s="6">
        <f t="shared" si="2"/>
        <v>53.333333333333336</v>
      </c>
      <c r="Y66" s="6">
        <f t="shared" si="3"/>
        <v>73.333333333333329</v>
      </c>
    </row>
    <row r="67" spans="1:25" x14ac:dyDescent="0.25">
      <c r="A67" s="1">
        <v>44726</v>
      </c>
      <c r="B67" t="s">
        <v>25</v>
      </c>
      <c r="C67" t="s">
        <v>26</v>
      </c>
      <c r="D67" t="s">
        <v>37</v>
      </c>
      <c r="E67" t="s">
        <v>28</v>
      </c>
      <c r="F67" t="s">
        <v>29</v>
      </c>
      <c r="G67" t="s">
        <v>30</v>
      </c>
      <c r="H67" t="s">
        <v>31</v>
      </c>
      <c r="I67" s="2">
        <v>320</v>
      </c>
      <c r="J67" s="6">
        <f t="shared" si="4"/>
        <v>201.6</v>
      </c>
      <c r="K67" s="5">
        <v>0.63</v>
      </c>
      <c r="L67" s="3">
        <v>10</v>
      </c>
      <c r="M67" s="3">
        <v>0</v>
      </c>
      <c r="N67" s="3">
        <v>0</v>
      </c>
      <c r="O67" s="3">
        <v>0.3</v>
      </c>
      <c r="P67" s="2">
        <v>0</v>
      </c>
      <c r="Q67" s="2">
        <v>30</v>
      </c>
      <c r="R67" s="2">
        <v>60</v>
      </c>
      <c r="S67" s="2">
        <v>110</v>
      </c>
      <c r="T67" s="2">
        <v>-10</v>
      </c>
      <c r="U67" s="2">
        <v>-100</v>
      </c>
      <c r="V67" s="2">
        <v>-320</v>
      </c>
      <c r="W67" s="2">
        <f t="shared" ref="W67:W130" si="5">U67-V67</f>
        <v>220</v>
      </c>
      <c r="X67" s="6">
        <f t="shared" ref="X67:X130" si="6">100*T67/V67</f>
        <v>3.125</v>
      </c>
      <c r="Y67" s="6">
        <f t="shared" ref="Y67:Y130" si="7">100*U67/V67</f>
        <v>31.25</v>
      </c>
    </row>
    <row r="68" spans="1:25" x14ac:dyDescent="0.25">
      <c r="A68" s="1">
        <v>44763</v>
      </c>
      <c r="B68" t="s">
        <v>110</v>
      </c>
      <c r="D68" t="s">
        <v>37</v>
      </c>
      <c r="F68" t="s">
        <v>111</v>
      </c>
      <c r="G68" t="s">
        <v>55</v>
      </c>
      <c r="H68" t="s">
        <v>43</v>
      </c>
      <c r="I68" s="2">
        <v>380</v>
      </c>
      <c r="J68" s="6">
        <f t="shared" si="4"/>
        <v>186.2</v>
      </c>
      <c r="K68" s="5">
        <v>0.49</v>
      </c>
      <c r="L68" s="3">
        <v>12.5</v>
      </c>
      <c r="M68" s="3">
        <v>0</v>
      </c>
      <c r="N68" s="3">
        <v>5.5</v>
      </c>
      <c r="O68" s="3">
        <v>0.6</v>
      </c>
      <c r="P68" s="2">
        <v>0</v>
      </c>
      <c r="Q68" s="2">
        <v>40</v>
      </c>
      <c r="R68" s="2">
        <v>80</v>
      </c>
      <c r="S68" s="2">
        <v>120</v>
      </c>
      <c r="T68" s="2">
        <v>-40</v>
      </c>
      <c r="U68" s="2">
        <v>-160</v>
      </c>
      <c r="V68" s="2">
        <v>-320</v>
      </c>
      <c r="W68" s="2">
        <f t="shared" si="5"/>
        <v>160</v>
      </c>
      <c r="X68" s="6">
        <f t="shared" si="6"/>
        <v>12.5</v>
      </c>
      <c r="Y68" s="6">
        <f t="shared" si="7"/>
        <v>50</v>
      </c>
    </row>
    <row r="69" spans="1:25" x14ac:dyDescent="0.25">
      <c r="A69" s="1">
        <v>44495</v>
      </c>
      <c r="B69" t="s">
        <v>107</v>
      </c>
      <c r="D69" t="s">
        <v>37</v>
      </c>
      <c r="E69" t="s">
        <v>108</v>
      </c>
      <c r="F69" t="s">
        <v>109</v>
      </c>
      <c r="G69" t="s">
        <v>55</v>
      </c>
      <c r="H69" t="s">
        <v>31</v>
      </c>
      <c r="I69" s="2">
        <v>380</v>
      </c>
      <c r="J69" s="6">
        <f t="shared" si="4"/>
        <v>186.2</v>
      </c>
      <c r="K69" s="5">
        <v>0.49</v>
      </c>
      <c r="L69" s="3">
        <v>0</v>
      </c>
      <c r="M69" s="3">
        <v>0</v>
      </c>
      <c r="N69" s="3">
        <v>0</v>
      </c>
      <c r="O69" s="3">
        <v>0.6</v>
      </c>
      <c r="P69" s="2">
        <v>0</v>
      </c>
      <c r="Q69" s="2">
        <v>-50</v>
      </c>
      <c r="R69" s="2">
        <v>-100</v>
      </c>
      <c r="S69" s="2">
        <v>-170</v>
      </c>
      <c r="T69" s="2">
        <v>-260</v>
      </c>
      <c r="U69" s="2">
        <v>-370</v>
      </c>
      <c r="V69" s="2">
        <v>-450</v>
      </c>
      <c r="W69" s="2">
        <f t="shared" si="5"/>
        <v>80</v>
      </c>
      <c r="X69" s="6">
        <f t="shared" si="6"/>
        <v>57.777777777777779</v>
      </c>
      <c r="Y69" s="6">
        <f t="shared" si="7"/>
        <v>82.222222222222229</v>
      </c>
    </row>
    <row r="70" spans="1:25" x14ac:dyDescent="0.25">
      <c r="A70" s="1">
        <v>45009</v>
      </c>
      <c r="B70" t="s">
        <v>85</v>
      </c>
      <c r="E70" t="s">
        <v>86</v>
      </c>
      <c r="F70" t="s">
        <v>29</v>
      </c>
      <c r="G70" t="s">
        <v>30</v>
      </c>
      <c r="H70" t="s">
        <v>35</v>
      </c>
      <c r="I70" s="2">
        <v>336</v>
      </c>
      <c r="J70" s="6">
        <f t="shared" si="4"/>
        <v>184.8</v>
      </c>
      <c r="K70" s="5">
        <v>0.55000000000000004</v>
      </c>
      <c r="L70" s="3">
        <v>12.5</v>
      </c>
      <c r="M70" s="3">
        <v>25</v>
      </c>
      <c r="N70" s="3">
        <v>5.5</v>
      </c>
      <c r="O70" s="3">
        <v>0.6</v>
      </c>
      <c r="P70" s="2">
        <v>0</v>
      </c>
      <c r="Q70" s="2">
        <v>20</v>
      </c>
      <c r="R70" s="2">
        <v>60</v>
      </c>
      <c r="S70" s="2">
        <v>100</v>
      </c>
      <c r="T70" s="2">
        <v>-30</v>
      </c>
      <c r="U70" s="2">
        <v>-160</v>
      </c>
      <c r="V70" s="2">
        <v>-320</v>
      </c>
      <c r="W70" s="2">
        <f t="shared" si="5"/>
        <v>160</v>
      </c>
      <c r="X70" s="6">
        <f t="shared" si="6"/>
        <v>9.375</v>
      </c>
      <c r="Y70" s="6">
        <f t="shared" si="7"/>
        <v>50</v>
      </c>
    </row>
    <row r="71" spans="1:25" x14ac:dyDescent="0.25">
      <c r="A71" s="1">
        <v>44733</v>
      </c>
      <c r="B71" t="s">
        <v>100</v>
      </c>
      <c r="D71" t="s">
        <v>37</v>
      </c>
      <c r="F71" t="s">
        <v>101</v>
      </c>
      <c r="G71" t="s">
        <v>68</v>
      </c>
      <c r="H71" t="s">
        <v>31</v>
      </c>
      <c r="I71" s="2">
        <v>360</v>
      </c>
      <c r="J71" s="6">
        <f t="shared" si="4"/>
        <v>194.4</v>
      </c>
      <c r="K71" s="5">
        <v>0.54</v>
      </c>
      <c r="L71" s="3">
        <v>0</v>
      </c>
      <c r="M71" s="3">
        <v>0</v>
      </c>
      <c r="N71" s="3">
        <v>5.625</v>
      </c>
      <c r="O71" s="3">
        <v>0.6</v>
      </c>
      <c r="P71" s="2">
        <v>0</v>
      </c>
      <c r="Q71" s="2">
        <v>-50</v>
      </c>
      <c r="R71" s="2">
        <v>-110</v>
      </c>
      <c r="S71" s="2">
        <v>-160</v>
      </c>
      <c r="T71" s="2">
        <v>-260</v>
      </c>
      <c r="U71" s="2">
        <v>-350</v>
      </c>
      <c r="V71" s="2">
        <v>-450</v>
      </c>
      <c r="W71" s="2">
        <f t="shared" si="5"/>
        <v>100</v>
      </c>
      <c r="X71" s="6">
        <f t="shared" si="6"/>
        <v>57.777777777777779</v>
      </c>
      <c r="Y71" s="6">
        <f t="shared" si="7"/>
        <v>77.777777777777771</v>
      </c>
    </row>
    <row r="72" spans="1:25" x14ac:dyDescent="0.25">
      <c r="A72" s="1">
        <v>45132</v>
      </c>
      <c r="B72" t="s">
        <v>112</v>
      </c>
      <c r="C72" t="s">
        <v>26</v>
      </c>
      <c r="D72" t="s">
        <v>37</v>
      </c>
      <c r="E72" t="s">
        <v>113</v>
      </c>
      <c r="F72" t="s">
        <v>101</v>
      </c>
      <c r="G72" t="s">
        <v>68</v>
      </c>
      <c r="H72" t="s">
        <v>31</v>
      </c>
      <c r="I72" s="2">
        <v>380</v>
      </c>
      <c r="J72" s="6">
        <f t="shared" si="4"/>
        <v>190</v>
      </c>
      <c r="K72" s="5">
        <v>0.5</v>
      </c>
      <c r="L72" s="3">
        <v>10</v>
      </c>
      <c r="M72" s="3">
        <v>0</v>
      </c>
      <c r="N72" s="3">
        <v>5</v>
      </c>
      <c r="O72" s="3">
        <v>0.6</v>
      </c>
      <c r="P72" s="2">
        <v>0</v>
      </c>
      <c r="Q72" s="2">
        <v>20</v>
      </c>
      <c r="R72" s="2">
        <v>40</v>
      </c>
      <c r="S72" s="2">
        <v>90</v>
      </c>
      <c r="T72" s="2">
        <v>-40</v>
      </c>
      <c r="U72" s="2">
        <v>-180</v>
      </c>
      <c r="V72" s="2">
        <v>-320</v>
      </c>
      <c r="W72" s="2">
        <f t="shared" si="5"/>
        <v>140</v>
      </c>
      <c r="X72" s="6">
        <f t="shared" si="6"/>
        <v>12.5</v>
      </c>
      <c r="Y72" s="6">
        <f t="shared" si="7"/>
        <v>56.25</v>
      </c>
    </row>
    <row r="73" spans="1:25" x14ac:dyDescent="0.25">
      <c r="A73" s="1">
        <v>44769</v>
      </c>
      <c r="B73" t="s">
        <v>114</v>
      </c>
      <c r="D73" t="s">
        <v>37</v>
      </c>
      <c r="E73" t="s">
        <v>115</v>
      </c>
      <c r="F73" t="s">
        <v>29</v>
      </c>
      <c r="G73" t="s">
        <v>30</v>
      </c>
      <c r="H73" t="s">
        <v>43</v>
      </c>
      <c r="I73" s="2">
        <v>390</v>
      </c>
      <c r="J73" s="6">
        <f t="shared" si="4"/>
        <v>183.29999999999998</v>
      </c>
      <c r="K73" s="5">
        <v>0.47</v>
      </c>
      <c r="L73" s="3">
        <v>0</v>
      </c>
      <c r="M73" s="3">
        <v>0</v>
      </c>
      <c r="N73" s="3">
        <v>0</v>
      </c>
      <c r="O73" s="3">
        <v>0</v>
      </c>
      <c r="P73" s="2">
        <v>0</v>
      </c>
      <c r="Q73" s="2">
        <v>-50</v>
      </c>
      <c r="R73" s="2">
        <v>-110</v>
      </c>
      <c r="S73" s="2">
        <v>-190</v>
      </c>
      <c r="T73" s="2">
        <v>-260</v>
      </c>
      <c r="U73" s="2">
        <v>-330</v>
      </c>
      <c r="V73" s="2">
        <v>-450</v>
      </c>
      <c r="W73" s="2">
        <f t="shared" si="5"/>
        <v>120</v>
      </c>
      <c r="X73" s="6">
        <f t="shared" si="6"/>
        <v>57.777777777777779</v>
      </c>
      <c r="Y73" s="6">
        <f t="shared" si="7"/>
        <v>73.333333333333329</v>
      </c>
    </row>
    <row r="74" spans="1:25" x14ac:dyDescent="0.25">
      <c r="A74" s="1">
        <v>44426</v>
      </c>
      <c r="B74" t="s">
        <v>98</v>
      </c>
      <c r="C74" t="s">
        <v>26</v>
      </c>
      <c r="D74" t="s">
        <v>37</v>
      </c>
      <c r="E74" t="s">
        <v>99</v>
      </c>
      <c r="F74" t="s">
        <v>29</v>
      </c>
      <c r="G74" t="s">
        <v>30</v>
      </c>
      <c r="H74" t="s">
        <v>31</v>
      </c>
      <c r="I74" s="2">
        <v>336</v>
      </c>
      <c r="J74" s="6">
        <f t="shared" si="4"/>
        <v>184.8</v>
      </c>
      <c r="K74" s="5">
        <v>0.55000000000000004</v>
      </c>
      <c r="L74" s="3">
        <v>10</v>
      </c>
      <c r="M74" s="3">
        <v>25</v>
      </c>
      <c r="N74" s="3">
        <v>0</v>
      </c>
      <c r="O74" s="3">
        <v>0.6</v>
      </c>
      <c r="P74" s="2">
        <v>0</v>
      </c>
      <c r="Q74" s="2">
        <v>60</v>
      </c>
      <c r="R74" s="2">
        <v>80</v>
      </c>
      <c r="S74" s="2">
        <v>120</v>
      </c>
      <c r="T74" s="2">
        <v>80</v>
      </c>
      <c r="U74" s="2">
        <v>-220</v>
      </c>
      <c r="V74" s="2">
        <v>-310</v>
      </c>
      <c r="W74" s="2">
        <f t="shared" si="5"/>
        <v>90</v>
      </c>
      <c r="X74" s="6">
        <f t="shared" si="6"/>
        <v>-25.806451612903224</v>
      </c>
      <c r="Y74" s="6">
        <f t="shared" si="7"/>
        <v>70.967741935483872</v>
      </c>
    </row>
    <row r="75" spans="1:25" x14ac:dyDescent="0.25">
      <c r="A75" s="1">
        <v>44790</v>
      </c>
      <c r="B75" t="s">
        <v>104</v>
      </c>
      <c r="D75" t="s">
        <v>37</v>
      </c>
      <c r="F75" t="s">
        <v>101</v>
      </c>
      <c r="G75" t="s">
        <v>68</v>
      </c>
      <c r="H75" t="s">
        <v>105</v>
      </c>
      <c r="I75" s="2">
        <v>380</v>
      </c>
      <c r="J75" s="6">
        <f t="shared" si="4"/>
        <v>193.8</v>
      </c>
      <c r="K75" s="5">
        <v>0.51</v>
      </c>
      <c r="L75" s="3">
        <v>0</v>
      </c>
      <c r="M75" s="3">
        <v>0</v>
      </c>
      <c r="N75" s="3">
        <v>0</v>
      </c>
      <c r="O75" s="3">
        <v>0.6</v>
      </c>
      <c r="P75" s="2">
        <v>0</v>
      </c>
      <c r="Q75" s="2">
        <v>-30</v>
      </c>
      <c r="R75" s="2">
        <v>-80</v>
      </c>
      <c r="S75" s="2">
        <v>-110</v>
      </c>
      <c r="T75" s="2">
        <v>-200</v>
      </c>
      <c r="U75" s="2">
        <v>-320</v>
      </c>
      <c r="V75" s="2">
        <v>-450</v>
      </c>
      <c r="W75" s="2">
        <f t="shared" si="5"/>
        <v>130</v>
      </c>
      <c r="X75" s="6">
        <f t="shared" si="6"/>
        <v>44.444444444444443</v>
      </c>
      <c r="Y75" s="6">
        <f t="shared" si="7"/>
        <v>71.111111111111114</v>
      </c>
    </row>
    <row r="76" spans="1:25" x14ac:dyDescent="0.25">
      <c r="A76" s="1">
        <v>44452</v>
      </c>
      <c r="B76" t="s">
        <v>80</v>
      </c>
      <c r="D76" t="s">
        <v>37</v>
      </c>
      <c r="E76" t="s">
        <v>81</v>
      </c>
      <c r="F76" t="s">
        <v>82</v>
      </c>
      <c r="G76" t="s">
        <v>83</v>
      </c>
      <c r="H76" t="s">
        <v>84</v>
      </c>
      <c r="I76" s="2">
        <v>380</v>
      </c>
      <c r="J76" s="6">
        <f t="shared" si="4"/>
        <v>197.98000000000002</v>
      </c>
      <c r="K76" s="5">
        <v>0.52100000000000002</v>
      </c>
      <c r="L76" s="3">
        <v>10</v>
      </c>
      <c r="M76" s="3">
        <v>0</v>
      </c>
      <c r="N76" s="3">
        <v>0</v>
      </c>
      <c r="O76" s="3">
        <v>0.6</v>
      </c>
      <c r="P76" s="2">
        <v>0</v>
      </c>
      <c r="Q76" s="2">
        <v>80</v>
      </c>
      <c r="R76" s="2">
        <v>120</v>
      </c>
      <c r="S76" s="2">
        <v>150</v>
      </c>
      <c r="T76" s="2">
        <v>-50</v>
      </c>
      <c r="U76" s="2">
        <v>-170</v>
      </c>
      <c r="V76" s="2">
        <v>-310</v>
      </c>
      <c r="W76" s="2">
        <f t="shared" si="5"/>
        <v>140</v>
      </c>
      <c r="X76" s="6">
        <f t="shared" si="6"/>
        <v>16.129032258064516</v>
      </c>
      <c r="Y76" s="6">
        <f t="shared" si="7"/>
        <v>54.838709677419352</v>
      </c>
    </row>
    <row r="77" spans="1:25" x14ac:dyDescent="0.25">
      <c r="A77" s="1">
        <v>44523</v>
      </c>
      <c r="B77" t="s">
        <v>116</v>
      </c>
      <c r="D77" t="s">
        <v>37</v>
      </c>
      <c r="E77" t="s">
        <v>117</v>
      </c>
      <c r="F77" t="s">
        <v>103</v>
      </c>
      <c r="G77" t="s">
        <v>55</v>
      </c>
      <c r="H77" t="s">
        <v>56</v>
      </c>
      <c r="I77" s="2">
        <v>412</v>
      </c>
      <c r="J77" s="6">
        <f t="shared" si="4"/>
        <v>210.12</v>
      </c>
      <c r="K77" s="5">
        <v>0.51</v>
      </c>
      <c r="L77" s="3">
        <v>10</v>
      </c>
      <c r="M77" s="3">
        <v>0</v>
      </c>
      <c r="N77" s="3">
        <v>0</v>
      </c>
      <c r="O77" s="3">
        <v>0</v>
      </c>
      <c r="P77" s="2">
        <v>0</v>
      </c>
      <c r="Q77" s="2">
        <v>10</v>
      </c>
      <c r="R77" s="2">
        <v>30</v>
      </c>
      <c r="S77" s="2">
        <v>70</v>
      </c>
      <c r="T77" s="2">
        <v>-150</v>
      </c>
      <c r="U77" s="2">
        <v>-230</v>
      </c>
      <c r="V77" s="2">
        <v>-310</v>
      </c>
      <c r="W77" s="2">
        <f t="shared" si="5"/>
        <v>80</v>
      </c>
      <c r="X77" s="6">
        <f t="shared" si="6"/>
        <v>48.387096774193552</v>
      </c>
      <c r="Y77" s="6">
        <f t="shared" si="7"/>
        <v>74.193548387096769</v>
      </c>
    </row>
    <row r="78" spans="1:25" x14ac:dyDescent="0.25">
      <c r="A78" s="1">
        <v>45091</v>
      </c>
      <c r="B78" t="s">
        <v>44</v>
      </c>
      <c r="C78" t="s">
        <v>26</v>
      </c>
      <c r="D78" t="s">
        <v>37</v>
      </c>
      <c r="E78" t="s">
        <v>28</v>
      </c>
      <c r="F78" t="s">
        <v>29</v>
      </c>
      <c r="G78" t="s">
        <v>30</v>
      </c>
      <c r="H78" t="s">
        <v>35</v>
      </c>
      <c r="I78" s="2">
        <v>337</v>
      </c>
      <c r="J78" s="6">
        <f t="shared" si="4"/>
        <v>185.35000000000002</v>
      </c>
      <c r="K78" s="5">
        <v>0.55000000000000004</v>
      </c>
      <c r="L78" s="3">
        <v>0</v>
      </c>
      <c r="M78" s="3">
        <v>0</v>
      </c>
      <c r="N78" s="3">
        <v>5.5</v>
      </c>
      <c r="O78" s="3">
        <v>0.6</v>
      </c>
      <c r="P78" s="2">
        <v>0</v>
      </c>
      <c r="Q78" s="2">
        <v>-60</v>
      </c>
      <c r="R78" s="2">
        <v>-100</v>
      </c>
      <c r="S78" s="2">
        <v>-150</v>
      </c>
      <c r="T78" s="2">
        <v>-210</v>
      </c>
      <c r="U78" s="2">
        <v>-300</v>
      </c>
      <c r="V78" s="2">
        <v>-450</v>
      </c>
      <c r="W78" s="2">
        <f t="shared" si="5"/>
        <v>150</v>
      </c>
      <c r="X78" s="6">
        <f t="shared" si="6"/>
        <v>46.666666666666664</v>
      </c>
      <c r="Y78" s="6">
        <f t="shared" si="7"/>
        <v>66.666666666666671</v>
      </c>
    </row>
    <row r="79" spans="1:25" x14ac:dyDescent="0.25">
      <c r="A79" s="1">
        <v>44557</v>
      </c>
      <c r="B79" t="s">
        <v>118</v>
      </c>
      <c r="D79" t="s">
        <v>37</v>
      </c>
      <c r="E79" t="s">
        <v>41</v>
      </c>
      <c r="F79" t="s">
        <v>42</v>
      </c>
      <c r="G79" t="s">
        <v>30</v>
      </c>
      <c r="H79" t="s">
        <v>43</v>
      </c>
      <c r="I79" s="2">
        <v>370</v>
      </c>
      <c r="J79" s="6">
        <f t="shared" si="4"/>
        <v>185</v>
      </c>
      <c r="K79" s="5">
        <v>0.5</v>
      </c>
      <c r="L79" s="3">
        <v>15</v>
      </c>
      <c r="M79" s="3">
        <v>0</v>
      </c>
      <c r="N79" s="3">
        <v>0</v>
      </c>
      <c r="O79" s="3">
        <v>0.6</v>
      </c>
      <c r="P79" s="2">
        <v>0</v>
      </c>
      <c r="Q79" s="2">
        <v>30</v>
      </c>
      <c r="R79" s="2">
        <v>-50</v>
      </c>
      <c r="S79" s="2">
        <v>-90</v>
      </c>
      <c r="T79" s="2">
        <v>-150</v>
      </c>
      <c r="U79" s="2">
        <v>-200</v>
      </c>
      <c r="V79" s="2">
        <v>-310</v>
      </c>
      <c r="W79" s="2">
        <f t="shared" si="5"/>
        <v>110</v>
      </c>
      <c r="X79" s="6">
        <f t="shared" si="6"/>
        <v>48.387096774193552</v>
      </c>
      <c r="Y79" s="6">
        <f t="shared" si="7"/>
        <v>64.516129032258064</v>
      </c>
    </row>
    <row r="80" spans="1:25" x14ac:dyDescent="0.25">
      <c r="A80" s="1">
        <v>44564</v>
      </c>
      <c r="B80" t="s">
        <v>119</v>
      </c>
      <c r="C80" t="s">
        <v>26</v>
      </c>
      <c r="D80" t="s">
        <v>37</v>
      </c>
      <c r="E80" t="s">
        <v>120</v>
      </c>
      <c r="F80" t="s">
        <v>29</v>
      </c>
      <c r="G80" t="s">
        <v>30</v>
      </c>
      <c r="H80" t="s">
        <v>56</v>
      </c>
      <c r="I80" s="2">
        <v>341</v>
      </c>
      <c r="J80" s="6">
        <f t="shared" si="4"/>
        <v>184.14000000000001</v>
      </c>
      <c r="K80" s="5">
        <v>0.54</v>
      </c>
      <c r="L80" s="3">
        <v>12.5</v>
      </c>
      <c r="M80" s="3">
        <v>25</v>
      </c>
      <c r="N80" s="3">
        <v>0</v>
      </c>
      <c r="O80" s="3">
        <v>0.6</v>
      </c>
      <c r="P80" s="2">
        <v>0</v>
      </c>
      <c r="Q80" s="2">
        <v>60</v>
      </c>
      <c r="R80" s="2">
        <v>90</v>
      </c>
      <c r="S80" s="2">
        <v>120</v>
      </c>
      <c r="T80" s="2">
        <v>-30</v>
      </c>
      <c r="U80" s="2">
        <v>-140</v>
      </c>
      <c r="V80" s="2">
        <v>-310</v>
      </c>
      <c r="W80" s="2">
        <f t="shared" si="5"/>
        <v>170</v>
      </c>
      <c r="X80" s="6">
        <f t="shared" si="6"/>
        <v>9.67741935483871</v>
      </c>
      <c r="Y80" s="6">
        <f t="shared" si="7"/>
        <v>45.161290322580648</v>
      </c>
    </row>
    <row r="81" spans="1:25" x14ac:dyDescent="0.25">
      <c r="A81" s="1">
        <v>44460</v>
      </c>
      <c r="B81" t="s">
        <v>77</v>
      </c>
      <c r="D81" t="s">
        <v>37</v>
      </c>
      <c r="E81" t="s">
        <v>78</v>
      </c>
      <c r="F81" t="s">
        <v>79</v>
      </c>
      <c r="G81" t="s">
        <v>55</v>
      </c>
      <c r="H81" t="s">
        <v>43</v>
      </c>
      <c r="I81" s="2">
        <v>370</v>
      </c>
      <c r="J81" s="6">
        <f t="shared" si="4"/>
        <v>203.50000000000003</v>
      </c>
      <c r="K81" s="5">
        <v>0.55000000000000004</v>
      </c>
      <c r="L81" s="3">
        <v>0</v>
      </c>
      <c r="M81" s="3">
        <v>0</v>
      </c>
      <c r="N81" s="3">
        <v>5.5</v>
      </c>
      <c r="O81" s="3">
        <v>0.6</v>
      </c>
      <c r="P81" s="2">
        <v>0</v>
      </c>
      <c r="Q81" s="2">
        <v>-70</v>
      </c>
      <c r="R81" s="2">
        <v>-90</v>
      </c>
      <c r="S81" s="2">
        <v>-130</v>
      </c>
      <c r="T81" s="2">
        <v>-200</v>
      </c>
      <c r="U81" s="2">
        <v>-320</v>
      </c>
      <c r="V81" s="2">
        <v>-440</v>
      </c>
      <c r="W81" s="2">
        <f t="shared" si="5"/>
        <v>120</v>
      </c>
      <c r="X81" s="6">
        <f t="shared" si="6"/>
        <v>45.454545454545453</v>
      </c>
      <c r="Y81" s="6">
        <f t="shared" si="7"/>
        <v>72.727272727272734</v>
      </c>
    </row>
    <row r="82" spans="1:25" x14ac:dyDescent="0.25">
      <c r="A82" s="1">
        <v>44597</v>
      </c>
      <c r="B82" t="s">
        <v>102</v>
      </c>
      <c r="D82" t="s">
        <v>37</v>
      </c>
      <c r="F82" t="s">
        <v>103</v>
      </c>
      <c r="G82" t="s">
        <v>55</v>
      </c>
      <c r="H82" t="s">
        <v>31</v>
      </c>
      <c r="I82" s="2">
        <v>336</v>
      </c>
      <c r="J82" s="6">
        <f t="shared" si="4"/>
        <v>184.8</v>
      </c>
      <c r="K82" s="5">
        <v>0.55000000000000004</v>
      </c>
      <c r="L82" s="3">
        <v>10</v>
      </c>
      <c r="M82" s="3">
        <v>0</v>
      </c>
      <c r="N82" s="3">
        <v>0</v>
      </c>
      <c r="O82" s="3">
        <v>0</v>
      </c>
      <c r="P82" s="2">
        <v>0</v>
      </c>
      <c r="Q82" s="2">
        <v>60</v>
      </c>
      <c r="R82" s="2">
        <v>80</v>
      </c>
      <c r="S82" s="2">
        <v>120</v>
      </c>
      <c r="T82" s="2">
        <v>80</v>
      </c>
      <c r="U82" s="2">
        <v>-220</v>
      </c>
      <c r="V82" s="2">
        <v>-310</v>
      </c>
      <c r="W82" s="2">
        <f t="shared" si="5"/>
        <v>90</v>
      </c>
      <c r="X82" s="6">
        <f t="shared" si="6"/>
        <v>-25.806451612903224</v>
      </c>
      <c r="Y82" s="6">
        <f t="shared" si="7"/>
        <v>70.967741935483872</v>
      </c>
    </row>
    <row r="83" spans="1:25" x14ac:dyDescent="0.25">
      <c r="A83" s="1">
        <v>44719</v>
      </c>
      <c r="B83" t="s">
        <v>73</v>
      </c>
      <c r="C83" t="s">
        <v>26</v>
      </c>
      <c r="D83" t="s">
        <v>37</v>
      </c>
      <c r="E83" t="s">
        <v>74</v>
      </c>
      <c r="F83" t="s">
        <v>29</v>
      </c>
      <c r="G83" t="s">
        <v>30</v>
      </c>
      <c r="H83" t="s">
        <v>35</v>
      </c>
      <c r="I83" s="2">
        <v>345</v>
      </c>
      <c r="J83" s="6">
        <f t="shared" si="4"/>
        <v>189.75000000000003</v>
      </c>
      <c r="K83" s="5">
        <v>0.55000000000000004</v>
      </c>
      <c r="L83" s="3">
        <v>12.5</v>
      </c>
      <c r="M83" s="3">
        <v>0</v>
      </c>
      <c r="N83" s="3">
        <v>5.5</v>
      </c>
      <c r="O83" s="3">
        <v>0</v>
      </c>
      <c r="P83" s="2">
        <v>0</v>
      </c>
      <c r="Q83" s="2">
        <v>40</v>
      </c>
      <c r="R83" s="2">
        <v>90</v>
      </c>
      <c r="S83" s="2">
        <v>120</v>
      </c>
      <c r="T83" s="2">
        <v>-50</v>
      </c>
      <c r="U83" s="2">
        <v>-130</v>
      </c>
      <c r="V83" s="2">
        <v>-310</v>
      </c>
      <c r="W83" s="2">
        <f t="shared" si="5"/>
        <v>180</v>
      </c>
      <c r="X83" s="6">
        <f t="shared" si="6"/>
        <v>16.129032258064516</v>
      </c>
      <c r="Y83" s="6">
        <f t="shared" si="7"/>
        <v>41.935483870967744</v>
      </c>
    </row>
    <row r="84" spans="1:25" x14ac:dyDescent="0.25">
      <c r="A84" s="1">
        <v>44558</v>
      </c>
      <c r="B84" t="s">
        <v>121</v>
      </c>
      <c r="D84" t="s">
        <v>37</v>
      </c>
      <c r="E84" t="s">
        <v>41</v>
      </c>
      <c r="F84" t="s">
        <v>42</v>
      </c>
      <c r="G84" t="s">
        <v>30</v>
      </c>
      <c r="H84" t="s">
        <v>43</v>
      </c>
      <c r="I84" s="2">
        <v>370</v>
      </c>
      <c r="J84" s="6">
        <f t="shared" si="4"/>
        <v>173.89999999999998</v>
      </c>
      <c r="K84" s="5">
        <v>0.47</v>
      </c>
      <c r="L84" s="3">
        <v>0</v>
      </c>
      <c r="M84" s="3">
        <v>0</v>
      </c>
      <c r="N84" s="3">
        <v>5.625</v>
      </c>
      <c r="O84" s="3">
        <v>0.6</v>
      </c>
      <c r="P84" s="2">
        <v>0</v>
      </c>
      <c r="Q84" s="2">
        <v>-90</v>
      </c>
      <c r="R84" s="2">
        <v>-140</v>
      </c>
      <c r="S84" s="2">
        <v>-210</v>
      </c>
      <c r="T84" s="2">
        <v>-270</v>
      </c>
      <c r="U84" s="2">
        <v>-320</v>
      </c>
      <c r="V84" s="2">
        <v>-440</v>
      </c>
      <c r="W84" s="2">
        <f t="shared" si="5"/>
        <v>120</v>
      </c>
      <c r="X84" s="6">
        <f t="shared" si="6"/>
        <v>61.363636363636367</v>
      </c>
      <c r="Y84" s="6">
        <f t="shared" si="7"/>
        <v>72.727272727272734</v>
      </c>
    </row>
    <row r="85" spans="1:25" x14ac:dyDescent="0.25">
      <c r="A85" s="1">
        <v>44741</v>
      </c>
      <c r="B85" t="s">
        <v>122</v>
      </c>
      <c r="D85" t="s">
        <v>37</v>
      </c>
      <c r="F85" t="s">
        <v>123</v>
      </c>
      <c r="G85" t="s">
        <v>55</v>
      </c>
      <c r="H85" t="s">
        <v>35</v>
      </c>
      <c r="I85" s="2">
        <v>340</v>
      </c>
      <c r="J85" s="6">
        <f t="shared" si="4"/>
        <v>183.60000000000002</v>
      </c>
      <c r="K85" s="5">
        <v>0.54</v>
      </c>
      <c r="L85" s="3">
        <v>15</v>
      </c>
      <c r="M85" s="3">
        <v>0</v>
      </c>
      <c r="N85" s="3">
        <v>5.5</v>
      </c>
      <c r="O85" s="3">
        <v>0.6</v>
      </c>
      <c r="P85" s="2">
        <v>0</v>
      </c>
      <c r="Q85" s="2">
        <v>30</v>
      </c>
      <c r="R85" s="2">
        <v>90</v>
      </c>
      <c r="S85" s="2">
        <v>150</v>
      </c>
      <c r="T85" s="2">
        <v>10</v>
      </c>
      <c r="U85" s="2">
        <v>-180</v>
      </c>
      <c r="V85" s="2">
        <v>-310</v>
      </c>
      <c r="W85" s="2">
        <f t="shared" si="5"/>
        <v>130</v>
      </c>
      <c r="X85" s="6">
        <f t="shared" si="6"/>
        <v>-3.225806451612903</v>
      </c>
      <c r="Y85" s="6">
        <f t="shared" si="7"/>
        <v>58.064516129032256</v>
      </c>
    </row>
    <row r="86" spans="1:25" x14ac:dyDescent="0.25">
      <c r="A86" s="1">
        <v>44796</v>
      </c>
      <c r="B86" t="s">
        <v>124</v>
      </c>
      <c r="D86" t="s">
        <v>37</v>
      </c>
      <c r="E86" t="s">
        <v>41</v>
      </c>
      <c r="F86" t="s">
        <v>42</v>
      </c>
      <c r="G86" t="s">
        <v>30</v>
      </c>
      <c r="H86" t="s">
        <v>51</v>
      </c>
      <c r="I86" s="2">
        <v>370</v>
      </c>
      <c r="J86" s="6">
        <f t="shared" si="4"/>
        <v>196.10000000000002</v>
      </c>
      <c r="K86" s="5">
        <v>0.53</v>
      </c>
      <c r="L86" s="3">
        <v>12.5</v>
      </c>
      <c r="M86" s="3">
        <v>0</v>
      </c>
      <c r="N86" s="3">
        <v>0</v>
      </c>
      <c r="O86" s="3">
        <v>0.6</v>
      </c>
      <c r="P86" s="2">
        <v>0</v>
      </c>
      <c r="Q86" s="2">
        <v>30</v>
      </c>
      <c r="R86" s="2">
        <v>70</v>
      </c>
      <c r="S86" s="2">
        <v>120</v>
      </c>
      <c r="T86" s="2">
        <v>-50</v>
      </c>
      <c r="U86" s="2">
        <v>-150</v>
      </c>
      <c r="V86" s="2">
        <v>-310</v>
      </c>
      <c r="W86" s="2">
        <f t="shared" si="5"/>
        <v>160</v>
      </c>
      <c r="X86" s="6">
        <f t="shared" si="6"/>
        <v>16.129032258064516</v>
      </c>
      <c r="Y86" s="6">
        <f t="shared" si="7"/>
        <v>48.387096774193552</v>
      </c>
    </row>
    <row r="87" spans="1:25" x14ac:dyDescent="0.25">
      <c r="A87" s="1">
        <v>44713</v>
      </c>
      <c r="B87" t="s">
        <v>125</v>
      </c>
      <c r="D87" t="s">
        <v>37</v>
      </c>
      <c r="F87" t="s">
        <v>126</v>
      </c>
      <c r="G87" t="s">
        <v>30</v>
      </c>
      <c r="H87" t="s">
        <v>31</v>
      </c>
      <c r="I87" s="2">
        <v>350</v>
      </c>
      <c r="J87" s="6">
        <f t="shared" si="4"/>
        <v>185.5</v>
      </c>
      <c r="K87" s="5">
        <v>0.53</v>
      </c>
      <c r="L87" s="3">
        <v>0</v>
      </c>
      <c r="M87" s="3">
        <v>0</v>
      </c>
      <c r="N87" s="3">
        <v>0</v>
      </c>
      <c r="O87" s="3">
        <v>0.6</v>
      </c>
      <c r="P87" s="2">
        <v>0</v>
      </c>
      <c r="Q87" s="2">
        <v>-40</v>
      </c>
      <c r="R87" s="2">
        <v>-90</v>
      </c>
      <c r="S87" s="2">
        <v>-140</v>
      </c>
      <c r="T87" s="2">
        <v>-220</v>
      </c>
      <c r="U87" s="2">
        <v>-300</v>
      </c>
      <c r="V87" s="2">
        <v>-440</v>
      </c>
      <c r="W87" s="2">
        <f t="shared" si="5"/>
        <v>140</v>
      </c>
      <c r="X87" s="6">
        <f t="shared" si="6"/>
        <v>50</v>
      </c>
      <c r="Y87" s="6">
        <f t="shared" si="7"/>
        <v>68.181818181818187</v>
      </c>
    </row>
    <row r="88" spans="1:25" x14ac:dyDescent="0.25">
      <c r="A88" s="1">
        <v>45026</v>
      </c>
      <c r="B88" t="s">
        <v>25</v>
      </c>
      <c r="C88" t="s">
        <v>26</v>
      </c>
      <c r="D88" t="s">
        <v>37</v>
      </c>
      <c r="E88" t="s">
        <v>28</v>
      </c>
      <c r="F88" t="s">
        <v>29</v>
      </c>
      <c r="G88" t="s">
        <v>30</v>
      </c>
      <c r="H88" t="s">
        <v>31</v>
      </c>
      <c r="I88" s="2">
        <v>330</v>
      </c>
      <c r="J88" s="6">
        <f t="shared" si="4"/>
        <v>201.29999999999998</v>
      </c>
      <c r="K88" s="5">
        <v>0.61</v>
      </c>
      <c r="L88" s="3">
        <v>10</v>
      </c>
      <c r="M88" s="3">
        <v>0</v>
      </c>
      <c r="N88" s="3">
        <v>0</v>
      </c>
      <c r="O88" s="3">
        <v>0.3</v>
      </c>
      <c r="P88" s="2">
        <v>0</v>
      </c>
      <c r="Q88" s="2">
        <v>40</v>
      </c>
      <c r="R88" s="2">
        <v>70</v>
      </c>
      <c r="S88" s="2">
        <v>90</v>
      </c>
      <c r="T88" s="2">
        <v>-30</v>
      </c>
      <c r="U88" s="2">
        <v>-150</v>
      </c>
      <c r="V88" s="2">
        <v>-310</v>
      </c>
      <c r="W88" s="2">
        <f t="shared" si="5"/>
        <v>160</v>
      </c>
      <c r="X88" s="6">
        <f t="shared" si="6"/>
        <v>9.67741935483871</v>
      </c>
      <c r="Y88" s="6">
        <f t="shared" si="7"/>
        <v>48.387096774193552</v>
      </c>
    </row>
    <row r="89" spans="1:25" x14ac:dyDescent="0.25">
      <c r="A89" s="1">
        <v>44721</v>
      </c>
      <c r="B89" t="s">
        <v>92</v>
      </c>
      <c r="D89" t="s">
        <v>37</v>
      </c>
      <c r="E89" t="s">
        <v>88</v>
      </c>
      <c r="F89" t="s">
        <v>29</v>
      </c>
      <c r="G89" t="s">
        <v>30</v>
      </c>
      <c r="H89" t="s">
        <v>35</v>
      </c>
      <c r="I89" s="2">
        <v>336</v>
      </c>
      <c r="J89" s="6">
        <f t="shared" si="4"/>
        <v>184.8</v>
      </c>
      <c r="K89" s="5">
        <v>0.55000000000000004</v>
      </c>
      <c r="L89" s="3">
        <v>15</v>
      </c>
      <c r="M89" s="3">
        <v>0</v>
      </c>
      <c r="N89" s="3">
        <v>5.5</v>
      </c>
      <c r="O89" s="3">
        <v>0.6</v>
      </c>
      <c r="P89" s="2">
        <v>0</v>
      </c>
      <c r="Q89" s="2">
        <v>40</v>
      </c>
      <c r="R89" s="2">
        <v>110</v>
      </c>
      <c r="S89" s="2">
        <v>150</v>
      </c>
      <c r="T89" s="2">
        <v>0</v>
      </c>
      <c r="U89" s="2">
        <v>-90</v>
      </c>
      <c r="V89" s="2">
        <v>-300</v>
      </c>
      <c r="W89" s="2">
        <f t="shared" si="5"/>
        <v>210</v>
      </c>
      <c r="X89" s="6">
        <f t="shared" si="6"/>
        <v>0</v>
      </c>
      <c r="Y89" s="6">
        <f t="shared" si="7"/>
        <v>30</v>
      </c>
    </row>
    <row r="90" spans="1:25" x14ac:dyDescent="0.25">
      <c r="A90" s="1">
        <v>44714</v>
      </c>
      <c r="B90" t="s">
        <v>127</v>
      </c>
      <c r="D90" t="s">
        <v>37</v>
      </c>
      <c r="E90" t="s">
        <v>128</v>
      </c>
      <c r="F90" t="s">
        <v>29</v>
      </c>
      <c r="G90" t="s">
        <v>30</v>
      </c>
      <c r="H90" t="s">
        <v>35</v>
      </c>
      <c r="I90" s="2">
        <v>336</v>
      </c>
      <c r="J90" s="6">
        <f t="shared" si="4"/>
        <v>184.8</v>
      </c>
      <c r="K90" s="5">
        <v>0.55000000000000004</v>
      </c>
      <c r="L90" s="3">
        <v>0</v>
      </c>
      <c r="M90" s="3">
        <v>0</v>
      </c>
      <c r="N90" s="3">
        <v>0</v>
      </c>
      <c r="O90" s="3">
        <v>0.6</v>
      </c>
      <c r="P90" s="2">
        <v>0</v>
      </c>
      <c r="Q90" s="2">
        <v>-50</v>
      </c>
      <c r="R90" s="2">
        <v>-90</v>
      </c>
      <c r="S90" s="2">
        <v>-160</v>
      </c>
      <c r="T90" s="2">
        <v>-200</v>
      </c>
      <c r="U90" s="2">
        <v>-310</v>
      </c>
      <c r="V90" s="2">
        <v>-440</v>
      </c>
      <c r="W90" s="2">
        <f t="shared" si="5"/>
        <v>130</v>
      </c>
      <c r="X90" s="6">
        <f t="shared" si="6"/>
        <v>45.454545454545453</v>
      </c>
      <c r="Y90" s="6">
        <f t="shared" si="7"/>
        <v>70.454545454545453</v>
      </c>
    </row>
    <row r="91" spans="1:25" x14ac:dyDescent="0.25">
      <c r="A91" s="1">
        <v>44732</v>
      </c>
      <c r="B91" t="s">
        <v>129</v>
      </c>
      <c r="D91" t="s">
        <v>37</v>
      </c>
      <c r="F91" t="s">
        <v>29</v>
      </c>
      <c r="G91" t="s">
        <v>30</v>
      </c>
      <c r="H91" t="s">
        <v>35</v>
      </c>
      <c r="I91" s="2">
        <v>336</v>
      </c>
      <c r="J91" s="6">
        <f t="shared" si="4"/>
        <v>184.8</v>
      </c>
      <c r="K91" s="5">
        <v>0.55000000000000004</v>
      </c>
      <c r="L91" s="3">
        <v>15</v>
      </c>
      <c r="M91" s="3">
        <v>0</v>
      </c>
      <c r="N91" s="3">
        <v>5.5</v>
      </c>
      <c r="O91" s="3">
        <v>0.6</v>
      </c>
      <c r="P91" s="2">
        <v>0</v>
      </c>
      <c r="Q91" s="2">
        <v>40</v>
      </c>
      <c r="R91" s="2">
        <v>100</v>
      </c>
      <c r="S91" s="2">
        <v>150</v>
      </c>
      <c r="T91" s="2">
        <v>-10</v>
      </c>
      <c r="U91" s="2">
        <v>-130</v>
      </c>
      <c r="V91" s="2">
        <v>-300</v>
      </c>
      <c r="W91" s="2">
        <f t="shared" si="5"/>
        <v>170</v>
      </c>
      <c r="X91" s="6">
        <f t="shared" si="6"/>
        <v>3.3333333333333335</v>
      </c>
      <c r="Y91" s="6">
        <f t="shared" si="7"/>
        <v>43.333333333333336</v>
      </c>
    </row>
    <row r="92" spans="1:25" x14ac:dyDescent="0.25">
      <c r="A92" s="1">
        <v>44718</v>
      </c>
      <c r="B92" t="s">
        <v>73</v>
      </c>
      <c r="C92" t="s">
        <v>26</v>
      </c>
      <c r="D92" t="s">
        <v>37</v>
      </c>
      <c r="E92" t="s">
        <v>74</v>
      </c>
      <c r="F92" t="s">
        <v>29</v>
      </c>
      <c r="G92" t="s">
        <v>30</v>
      </c>
      <c r="H92" t="s">
        <v>35</v>
      </c>
      <c r="I92" s="2">
        <v>345</v>
      </c>
      <c r="J92" s="6">
        <f t="shared" si="4"/>
        <v>189.75000000000003</v>
      </c>
      <c r="K92" s="5">
        <v>0.55000000000000004</v>
      </c>
      <c r="L92" s="3">
        <v>0</v>
      </c>
      <c r="M92" s="3">
        <v>0</v>
      </c>
      <c r="N92" s="3">
        <v>5.5</v>
      </c>
      <c r="O92" s="3">
        <v>0</v>
      </c>
      <c r="P92" s="2">
        <v>0</v>
      </c>
      <c r="Q92" s="2">
        <v>-30</v>
      </c>
      <c r="R92" s="2">
        <v>-70</v>
      </c>
      <c r="S92" s="2">
        <v>-120</v>
      </c>
      <c r="T92" s="2">
        <v>-190</v>
      </c>
      <c r="U92" s="2">
        <v>-260</v>
      </c>
      <c r="V92" s="2">
        <v>-440</v>
      </c>
      <c r="W92" s="2">
        <f t="shared" si="5"/>
        <v>180</v>
      </c>
      <c r="X92" s="6">
        <f t="shared" si="6"/>
        <v>43.18181818181818</v>
      </c>
      <c r="Y92" s="6">
        <f t="shared" si="7"/>
        <v>59.090909090909093</v>
      </c>
    </row>
    <row r="93" spans="1:25" x14ac:dyDescent="0.25">
      <c r="A93" s="1">
        <v>44824</v>
      </c>
      <c r="B93" t="s">
        <v>130</v>
      </c>
      <c r="D93" t="s">
        <v>37</v>
      </c>
      <c r="E93" t="s">
        <v>131</v>
      </c>
      <c r="F93" t="s">
        <v>29</v>
      </c>
      <c r="G93" t="s">
        <v>30</v>
      </c>
      <c r="H93" t="s">
        <v>35</v>
      </c>
      <c r="I93" s="2">
        <v>327</v>
      </c>
      <c r="J93" s="6">
        <f t="shared" si="4"/>
        <v>179.85000000000002</v>
      </c>
      <c r="K93" s="5">
        <v>0.55000000000000004</v>
      </c>
      <c r="L93" s="3">
        <v>12.5</v>
      </c>
      <c r="M93" s="3">
        <v>0</v>
      </c>
      <c r="N93" s="3">
        <v>0</v>
      </c>
      <c r="O93" s="3">
        <v>0.6</v>
      </c>
      <c r="P93" s="2">
        <v>0</v>
      </c>
      <c r="Q93" s="2">
        <v>30</v>
      </c>
      <c r="R93" s="2">
        <v>80</v>
      </c>
      <c r="S93" s="2">
        <v>110</v>
      </c>
      <c r="T93" s="2">
        <v>-50</v>
      </c>
      <c r="U93" s="2">
        <v>-160</v>
      </c>
      <c r="V93" s="2">
        <v>-300</v>
      </c>
      <c r="W93" s="2">
        <f t="shared" si="5"/>
        <v>140</v>
      </c>
      <c r="X93" s="6">
        <f t="shared" si="6"/>
        <v>16.666666666666668</v>
      </c>
      <c r="Y93" s="6">
        <f t="shared" si="7"/>
        <v>53.333333333333336</v>
      </c>
    </row>
    <row r="94" spans="1:25" x14ac:dyDescent="0.25">
      <c r="A94" s="1">
        <v>44726</v>
      </c>
      <c r="B94" t="s">
        <v>25</v>
      </c>
      <c r="C94" t="s">
        <v>26</v>
      </c>
      <c r="D94" t="s">
        <v>37</v>
      </c>
      <c r="E94" t="s">
        <v>28</v>
      </c>
      <c r="F94" t="s">
        <v>29</v>
      </c>
      <c r="G94" t="s">
        <v>30</v>
      </c>
      <c r="H94" t="s">
        <v>31</v>
      </c>
      <c r="I94" s="2">
        <v>330</v>
      </c>
      <c r="J94" s="6">
        <f t="shared" si="4"/>
        <v>201.29999999999998</v>
      </c>
      <c r="K94" s="5">
        <v>0.61</v>
      </c>
      <c r="L94" s="3">
        <v>0</v>
      </c>
      <c r="M94" s="3">
        <v>0</v>
      </c>
      <c r="N94" s="3">
        <v>0</v>
      </c>
      <c r="O94" s="3">
        <v>0.3</v>
      </c>
      <c r="P94" s="2">
        <v>0</v>
      </c>
      <c r="Q94" s="2">
        <v>-30</v>
      </c>
      <c r="R94" s="2">
        <v>-100</v>
      </c>
      <c r="S94" s="2">
        <v>-150</v>
      </c>
      <c r="T94" s="2">
        <v>-210</v>
      </c>
      <c r="U94" s="2">
        <v>-290</v>
      </c>
      <c r="V94" s="2">
        <v>-440</v>
      </c>
      <c r="W94" s="2">
        <f t="shared" si="5"/>
        <v>150</v>
      </c>
      <c r="X94" s="6">
        <f t="shared" si="6"/>
        <v>47.727272727272727</v>
      </c>
      <c r="Y94" s="6">
        <f t="shared" si="7"/>
        <v>65.909090909090907</v>
      </c>
    </row>
    <row r="95" spans="1:25" x14ac:dyDescent="0.25">
      <c r="A95" s="1">
        <v>44915</v>
      </c>
      <c r="B95" t="s">
        <v>76</v>
      </c>
      <c r="C95" t="s">
        <v>26</v>
      </c>
      <c r="D95" t="s">
        <v>37</v>
      </c>
      <c r="F95" t="s">
        <v>29</v>
      </c>
      <c r="G95" t="s">
        <v>30</v>
      </c>
      <c r="H95" t="s">
        <v>35</v>
      </c>
      <c r="I95" s="2">
        <v>337</v>
      </c>
      <c r="J95" s="6">
        <f t="shared" si="4"/>
        <v>185.35000000000002</v>
      </c>
      <c r="K95" s="5">
        <v>0.55000000000000004</v>
      </c>
      <c r="L95" s="3">
        <v>12.5</v>
      </c>
      <c r="M95" s="3">
        <v>25</v>
      </c>
      <c r="N95" s="3">
        <v>0</v>
      </c>
      <c r="O95" s="3">
        <v>0.6</v>
      </c>
      <c r="P95" s="2">
        <v>0</v>
      </c>
      <c r="Q95" s="2">
        <v>30</v>
      </c>
      <c r="R95" s="2">
        <v>70</v>
      </c>
      <c r="S95" s="2">
        <v>100</v>
      </c>
      <c r="T95" s="2">
        <v>-70</v>
      </c>
      <c r="U95" s="2">
        <v>-170</v>
      </c>
      <c r="V95" s="2">
        <v>-300</v>
      </c>
      <c r="W95" s="2">
        <f t="shared" si="5"/>
        <v>130</v>
      </c>
      <c r="X95" s="6">
        <f t="shared" si="6"/>
        <v>23.333333333333332</v>
      </c>
      <c r="Y95" s="6">
        <f t="shared" si="7"/>
        <v>56.666666666666664</v>
      </c>
    </row>
    <row r="96" spans="1:25" x14ac:dyDescent="0.25">
      <c r="A96" s="1">
        <v>44761</v>
      </c>
      <c r="B96" t="s">
        <v>132</v>
      </c>
      <c r="D96" t="s">
        <v>37</v>
      </c>
      <c r="F96" t="s">
        <v>133</v>
      </c>
      <c r="G96" t="s">
        <v>55</v>
      </c>
      <c r="I96" s="2">
        <v>336</v>
      </c>
      <c r="J96" s="6">
        <f t="shared" si="4"/>
        <v>171.36</v>
      </c>
      <c r="K96" s="5">
        <v>0.51</v>
      </c>
      <c r="L96" s="3">
        <v>0</v>
      </c>
      <c r="M96" s="3">
        <v>0</v>
      </c>
      <c r="N96" s="3">
        <v>5.5</v>
      </c>
      <c r="O96" s="3">
        <v>0.6</v>
      </c>
      <c r="P96" s="2">
        <v>0</v>
      </c>
      <c r="Q96" s="2">
        <v>-50</v>
      </c>
      <c r="R96" s="2">
        <v>-100</v>
      </c>
      <c r="S96" s="2">
        <v>-160</v>
      </c>
      <c r="T96" s="2">
        <v>-260</v>
      </c>
      <c r="U96" s="2">
        <v>-340</v>
      </c>
      <c r="V96" s="2">
        <v>-440</v>
      </c>
      <c r="W96" s="2">
        <f t="shared" si="5"/>
        <v>100</v>
      </c>
      <c r="X96" s="6">
        <f t="shared" si="6"/>
        <v>59.090909090909093</v>
      </c>
      <c r="Y96" s="6">
        <f t="shared" si="7"/>
        <v>77.272727272727266</v>
      </c>
    </row>
    <row r="97" spans="1:25" x14ac:dyDescent="0.25">
      <c r="A97" s="1">
        <v>45001</v>
      </c>
      <c r="B97" t="s">
        <v>69</v>
      </c>
      <c r="F97" t="s">
        <v>29</v>
      </c>
      <c r="G97" t="s">
        <v>30</v>
      </c>
      <c r="H97" t="s">
        <v>31</v>
      </c>
      <c r="I97" s="2">
        <v>336</v>
      </c>
      <c r="J97" s="6">
        <f t="shared" si="4"/>
        <v>184.8</v>
      </c>
      <c r="K97" s="5">
        <v>0.55000000000000004</v>
      </c>
      <c r="L97" s="3">
        <v>15</v>
      </c>
      <c r="M97" s="3">
        <v>25</v>
      </c>
      <c r="N97" s="3">
        <v>6</v>
      </c>
      <c r="O97" s="3">
        <v>0.6</v>
      </c>
      <c r="P97" s="2">
        <v>0</v>
      </c>
      <c r="Q97" s="2">
        <v>20</v>
      </c>
      <c r="R97" s="2">
        <v>80</v>
      </c>
      <c r="S97" s="2">
        <v>120</v>
      </c>
      <c r="T97" s="2">
        <v>-20</v>
      </c>
      <c r="U97" s="2">
        <v>-120</v>
      </c>
      <c r="V97" s="2">
        <v>-300</v>
      </c>
      <c r="W97" s="2">
        <f t="shared" si="5"/>
        <v>180</v>
      </c>
      <c r="X97" s="6">
        <f t="shared" si="6"/>
        <v>6.666666666666667</v>
      </c>
      <c r="Y97" s="6">
        <f t="shared" si="7"/>
        <v>40</v>
      </c>
    </row>
    <row r="98" spans="1:25" x14ac:dyDescent="0.25">
      <c r="A98" s="1">
        <v>44452</v>
      </c>
      <c r="B98" t="s">
        <v>80</v>
      </c>
      <c r="D98" t="s">
        <v>37</v>
      </c>
      <c r="E98" t="s">
        <v>81</v>
      </c>
      <c r="F98" t="s">
        <v>82</v>
      </c>
      <c r="G98" t="s">
        <v>83</v>
      </c>
      <c r="H98" t="s">
        <v>84</v>
      </c>
      <c r="I98" s="2">
        <v>360</v>
      </c>
      <c r="J98" s="6">
        <f t="shared" si="4"/>
        <v>190.08</v>
      </c>
      <c r="K98" s="5">
        <v>0.52800000000000002</v>
      </c>
      <c r="L98" s="3">
        <v>10</v>
      </c>
      <c r="M98" s="3">
        <v>0</v>
      </c>
      <c r="N98" s="3">
        <v>0</v>
      </c>
      <c r="O98" s="3">
        <v>0.6</v>
      </c>
      <c r="P98" s="2">
        <v>0</v>
      </c>
      <c r="Q98" s="2">
        <v>90</v>
      </c>
      <c r="R98" s="2">
        <v>140</v>
      </c>
      <c r="S98" s="2">
        <v>160</v>
      </c>
      <c r="T98" s="2">
        <v>-50</v>
      </c>
      <c r="U98" s="2">
        <v>-160</v>
      </c>
      <c r="V98" s="2">
        <v>-290</v>
      </c>
      <c r="W98" s="2">
        <f t="shared" si="5"/>
        <v>130</v>
      </c>
      <c r="X98" s="6">
        <f t="shared" si="6"/>
        <v>17.241379310344829</v>
      </c>
      <c r="Y98" s="6">
        <f t="shared" si="7"/>
        <v>55.172413793103445</v>
      </c>
    </row>
    <row r="99" spans="1:25" x14ac:dyDescent="0.25">
      <c r="A99" s="1">
        <v>44558</v>
      </c>
      <c r="B99" t="s">
        <v>121</v>
      </c>
      <c r="D99" t="s">
        <v>37</v>
      </c>
      <c r="E99" t="s">
        <v>41</v>
      </c>
      <c r="F99" t="s">
        <v>42</v>
      </c>
      <c r="G99" t="s">
        <v>30</v>
      </c>
      <c r="H99" t="s">
        <v>43</v>
      </c>
      <c r="I99" s="2">
        <v>370</v>
      </c>
      <c r="J99" s="6">
        <f t="shared" si="4"/>
        <v>173.89999999999998</v>
      </c>
      <c r="K99" s="5">
        <v>0.47</v>
      </c>
      <c r="L99" s="3">
        <v>12.5</v>
      </c>
      <c r="M99" s="3">
        <v>0</v>
      </c>
      <c r="N99" s="3">
        <v>5.625</v>
      </c>
      <c r="O99" s="3">
        <v>0.6</v>
      </c>
      <c r="P99" s="2">
        <v>0</v>
      </c>
      <c r="Q99" s="2">
        <v>80</v>
      </c>
      <c r="R99" s="2">
        <v>-50</v>
      </c>
      <c r="S99" s="2">
        <v>-100</v>
      </c>
      <c r="T99" s="2">
        <v>-170</v>
      </c>
      <c r="U99" s="2">
        <v>-230</v>
      </c>
      <c r="V99" s="2">
        <v>-290</v>
      </c>
      <c r="W99" s="2">
        <f t="shared" si="5"/>
        <v>60</v>
      </c>
      <c r="X99" s="6">
        <f t="shared" si="6"/>
        <v>58.620689655172413</v>
      </c>
      <c r="Y99" s="6">
        <f t="shared" si="7"/>
        <v>79.310344827586206</v>
      </c>
    </row>
    <row r="100" spans="1:25" x14ac:dyDescent="0.25">
      <c r="A100" s="1">
        <v>44762</v>
      </c>
      <c r="B100" t="s">
        <v>134</v>
      </c>
      <c r="D100" t="s">
        <v>37</v>
      </c>
      <c r="E100" t="s">
        <v>41</v>
      </c>
      <c r="F100" t="s">
        <v>42</v>
      </c>
      <c r="G100" t="s">
        <v>30</v>
      </c>
      <c r="H100" t="s">
        <v>51</v>
      </c>
      <c r="I100" s="2">
        <v>370</v>
      </c>
      <c r="J100" s="6">
        <f t="shared" si="4"/>
        <v>192.4</v>
      </c>
      <c r="K100" s="5">
        <v>0.52</v>
      </c>
      <c r="L100" s="3">
        <v>0</v>
      </c>
      <c r="M100" s="3">
        <v>0</v>
      </c>
      <c r="N100" s="3">
        <v>0</v>
      </c>
      <c r="O100" s="3">
        <v>0.6</v>
      </c>
      <c r="P100" s="2">
        <v>0</v>
      </c>
      <c r="Q100" s="2">
        <v>-50</v>
      </c>
      <c r="R100" s="2">
        <v>-120</v>
      </c>
      <c r="S100" s="2">
        <v>-180</v>
      </c>
      <c r="T100" s="2">
        <v>-220</v>
      </c>
      <c r="U100" s="2">
        <v>-350</v>
      </c>
      <c r="V100" s="2">
        <v>-440</v>
      </c>
      <c r="W100" s="2">
        <f t="shared" si="5"/>
        <v>90</v>
      </c>
      <c r="X100" s="6">
        <f t="shared" si="6"/>
        <v>50</v>
      </c>
      <c r="Y100" s="6">
        <f t="shared" si="7"/>
        <v>79.545454545454547</v>
      </c>
    </row>
    <row r="101" spans="1:25" x14ac:dyDescent="0.25">
      <c r="A101" s="1">
        <v>44704</v>
      </c>
      <c r="B101" t="s">
        <v>135</v>
      </c>
      <c r="D101" t="s">
        <v>37</v>
      </c>
      <c r="F101" t="s">
        <v>29</v>
      </c>
      <c r="G101" t="s">
        <v>30</v>
      </c>
      <c r="H101" t="s">
        <v>56</v>
      </c>
      <c r="I101" s="2">
        <v>350</v>
      </c>
      <c r="J101" s="6">
        <f t="shared" si="4"/>
        <v>178.5</v>
      </c>
      <c r="K101" s="5">
        <v>0.51</v>
      </c>
      <c r="L101" s="3">
        <v>15</v>
      </c>
      <c r="M101" s="3">
        <v>0</v>
      </c>
      <c r="N101" s="3">
        <v>5.5</v>
      </c>
      <c r="O101" s="3">
        <v>0.6</v>
      </c>
      <c r="P101" s="2">
        <v>0</v>
      </c>
      <c r="Q101" s="2">
        <v>40</v>
      </c>
      <c r="R101" s="2">
        <v>80</v>
      </c>
      <c r="S101" s="2">
        <v>130</v>
      </c>
      <c r="T101" s="2">
        <v>-60</v>
      </c>
      <c r="U101" s="2">
        <v>-170</v>
      </c>
      <c r="V101" s="2">
        <v>-290</v>
      </c>
      <c r="W101" s="2">
        <f t="shared" si="5"/>
        <v>120</v>
      </c>
      <c r="X101" s="6">
        <f t="shared" si="6"/>
        <v>20.689655172413794</v>
      </c>
      <c r="Y101" s="6">
        <f t="shared" si="7"/>
        <v>58.620689655172413</v>
      </c>
    </row>
    <row r="102" spans="1:25" x14ac:dyDescent="0.25">
      <c r="A102" s="1">
        <v>45132</v>
      </c>
      <c r="B102" t="s">
        <v>112</v>
      </c>
      <c r="C102" t="s">
        <v>26</v>
      </c>
      <c r="D102" t="s">
        <v>37</v>
      </c>
      <c r="E102" t="s">
        <v>113</v>
      </c>
      <c r="F102" t="s">
        <v>101</v>
      </c>
      <c r="G102" t="s">
        <v>68</v>
      </c>
      <c r="H102" t="s">
        <v>31</v>
      </c>
      <c r="I102" s="2">
        <v>380</v>
      </c>
      <c r="J102" s="6">
        <f t="shared" si="4"/>
        <v>190</v>
      </c>
      <c r="K102" s="5">
        <v>0.5</v>
      </c>
      <c r="L102" s="3">
        <v>0</v>
      </c>
      <c r="M102" s="3">
        <v>0</v>
      </c>
      <c r="N102" s="3">
        <v>5</v>
      </c>
      <c r="O102" s="3">
        <v>0.6</v>
      </c>
      <c r="P102" s="2">
        <v>0</v>
      </c>
      <c r="Q102" s="2">
        <v>-40</v>
      </c>
      <c r="R102" s="2">
        <v>-70</v>
      </c>
      <c r="S102" s="2">
        <v>-120</v>
      </c>
      <c r="T102" s="2">
        <v>-210</v>
      </c>
      <c r="U102" s="2">
        <v>-330</v>
      </c>
      <c r="V102" s="2">
        <v>-440</v>
      </c>
      <c r="W102" s="2">
        <f t="shared" si="5"/>
        <v>110</v>
      </c>
      <c r="X102" s="6">
        <f t="shared" si="6"/>
        <v>47.727272727272727</v>
      </c>
      <c r="Y102" s="6">
        <f t="shared" si="7"/>
        <v>75</v>
      </c>
    </row>
    <row r="103" spans="1:25" x14ac:dyDescent="0.25">
      <c r="A103" s="1">
        <v>44721</v>
      </c>
      <c r="B103" t="s">
        <v>136</v>
      </c>
      <c r="D103" t="s">
        <v>37</v>
      </c>
      <c r="F103" t="s">
        <v>29</v>
      </c>
      <c r="G103" t="s">
        <v>30</v>
      </c>
      <c r="H103" t="s">
        <v>35</v>
      </c>
      <c r="I103" s="2">
        <v>336</v>
      </c>
      <c r="J103" s="6">
        <f t="shared" si="4"/>
        <v>184.8</v>
      </c>
      <c r="K103" s="5">
        <v>0.55000000000000004</v>
      </c>
      <c r="L103" s="3">
        <v>15</v>
      </c>
      <c r="M103" s="3">
        <v>0</v>
      </c>
      <c r="N103" s="3">
        <v>5.5</v>
      </c>
      <c r="O103" s="3">
        <v>0.6</v>
      </c>
      <c r="P103" s="2">
        <v>0</v>
      </c>
      <c r="Q103" s="2">
        <v>50</v>
      </c>
      <c r="R103" s="2">
        <v>100</v>
      </c>
      <c r="S103" s="2">
        <v>160</v>
      </c>
      <c r="T103" s="2">
        <v>10</v>
      </c>
      <c r="U103" s="2">
        <v>-130</v>
      </c>
      <c r="V103" s="2">
        <v>-290</v>
      </c>
      <c r="W103" s="2">
        <f t="shared" si="5"/>
        <v>160</v>
      </c>
      <c r="X103" s="6">
        <f t="shared" si="6"/>
        <v>-3.4482758620689653</v>
      </c>
      <c r="Y103" s="6">
        <f t="shared" si="7"/>
        <v>44.827586206896555</v>
      </c>
    </row>
    <row r="104" spans="1:25" x14ac:dyDescent="0.25">
      <c r="A104" s="1">
        <v>44734</v>
      </c>
      <c r="B104" t="s">
        <v>137</v>
      </c>
      <c r="D104" t="s">
        <v>37</v>
      </c>
      <c r="E104" t="s">
        <v>138</v>
      </c>
      <c r="F104" t="s">
        <v>29</v>
      </c>
      <c r="G104" t="s">
        <v>30</v>
      </c>
      <c r="H104" t="s">
        <v>35</v>
      </c>
      <c r="I104" s="2">
        <v>356</v>
      </c>
      <c r="J104" s="6">
        <f t="shared" si="4"/>
        <v>185.12</v>
      </c>
      <c r="K104" s="5">
        <v>0.52</v>
      </c>
      <c r="L104" s="3">
        <v>15</v>
      </c>
      <c r="M104" s="3">
        <v>0</v>
      </c>
      <c r="N104" s="3">
        <v>0</v>
      </c>
      <c r="O104" s="3">
        <v>0.6</v>
      </c>
      <c r="P104" s="2">
        <v>0</v>
      </c>
      <c r="Q104" s="2">
        <v>60</v>
      </c>
      <c r="R104" s="2">
        <v>110</v>
      </c>
      <c r="S104" s="2">
        <v>160</v>
      </c>
      <c r="T104" s="2">
        <v>10</v>
      </c>
      <c r="U104" s="2">
        <v>-140</v>
      </c>
      <c r="V104" s="2">
        <v>-290</v>
      </c>
      <c r="W104" s="2">
        <f t="shared" si="5"/>
        <v>150</v>
      </c>
      <c r="X104" s="6">
        <f t="shared" si="6"/>
        <v>-3.4482758620689653</v>
      </c>
      <c r="Y104" s="6">
        <f t="shared" si="7"/>
        <v>48.275862068965516</v>
      </c>
    </row>
    <row r="105" spans="1:25" x14ac:dyDescent="0.25">
      <c r="A105" s="1">
        <v>44523</v>
      </c>
      <c r="B105" t="s">
        <v>116</v>
      </c>
      <c r="D105" t="s">
        <v>37</v>
      </c>
      <c r="E105" t="s">
        <v>117</v>
      </c>
      <c r="F105" t="s">
        <v>103</v>
      </c>
      <c r="G105" t="s">
        <v>55</v>
      </c>
      <c r="H105" t="s">
        <v>56</v>
      </c>
      <c r="I105" s="2">
        <v>412</v>
      </c>
      <c r="J105" s="6">
        <f t="shared" si="4"/>
        <v>210.12</v>
      </c>
      <c r="K105" s="5">
        <v>0.51</v>
      </c>
      <c r="L105" s="3">
        <v>0</v>
      </c>
      <c r="M105" s="3">
        <v>0</v>
      </c>
      <c r="N105" s="3">
        <v>0</v>
      </c>
      <c r="O105" s="3">
        <v>0</v>
      </c>
      <c r="P105" s="2">
        <v>0</v>
      </c>
      <c r="Q105" s="2">
        <v>-60</v>
      </c>
      <c r="R105" s="2">
        <v>-120</v>
      </c>
      <c r="S105" s="2">
        <v>-160</v>
      </c>
      <c r="T105" s="2">
        <v>-260</v>
      </c>
      <c r="U105" s="2">
        <v>-350</v>
      </c>
      <c r="V105" s="2">
        <v>-430</v>
      </c>
      <c r="W105" s="2">
        <f t="shared" si="5"/>
        <v>80</v>
      </c>
      <c r="X105" s="6">
        <f t="shared" si="6"/>
        <v>60.465116279069768</v>
      </c>
      <c r="Y105" s="6">
        <f t="shared" si="7"/>
        <v>81.395348837209298</v>
      </c>
    </row>
    <row r="106" spans="1:25" x14ac:dyDescent="0.25">
      <c r="A106" s="1">
        <v>44761</v>
      </c>
      <c r="B106" t="s">
        <v>132</v>
      </c>
      <c r="D106" t="s">
        <v>37</v>
      </c>
      <c r="F106" t="s">
        <v>133</v>
      </c>
      <c r="G106" t="s">
        <v>55</v>
      </c>
      <c r="I106" s="2">
        <v>336</v>
      </c>
      <c r="J106" s="6">
        <f t="shared" si="4"/>
        <v>171.36</v>
      </c>
      <c r="K106" s="5">
        <v>0.51</v>
      </c>
      <c r="L106" s="3">
        <v>15</v>
      </c>
      <c r="M106" s="3">
        <v>0</v>
      </c>
      <c r="N106" s="3">
        <v>5.5</v>
      </c>
      <c r="O106" s="3">
        <v>0.6</v>
      </c>
      <c r="P106" s="2">
        <v>0</v>
      </c>
      <c r="Q106" s="2">
        <v>50</v>
      </c>
      <c r="R106" s="2">
        <v>80</v>
      </c>
      <c r="S106" s="2">
        <v>110</v>
      </c>
      <c r="T106" s="2">
        <v>-30</v>
      </c>
      <c r="U106" s="2">
        <v>-150</v>
      </c>
      <c r="V106" s="2">
        <v>-290</v>
      </c>
      <c r="W106" s="2">
        <f t="shared" si="5"/>
        <v>140</v>
      </c>
      <c r="X106" s="6">
        <f t="shared" si="6"/>
        <v>10.344827586206897</v>
      </c>
      <c r="Y106" s="6">
        <f t="shared" si="7"/>
        <v>51.724137931034484</v>
      </c>
    </row>
    <row r="107" spans="1:25" x14ac:dyDescent="0.25">
      <c r="A107" s="1">
        <v>44783</v>
      </c>
      <c r="B107" t="s">
        <v>139</v>
      </c>
      <c r="D107" t="s">
        <v>37</v>
      </c>
      <c r="F107" t="s">
        <v>101</v>
      </c>
      <c r="G107" t="s">
        <v>68</v>
      </c>
      <c r="H107" t="s">
        <v>31</v>
      </c>
      <c r="I107" s="2">
        <v>360</v>
      </c>
      <c r="J107" s="6">
        <f t="shared" si="4"/>
        <v>190.8</v>
      </c>
      <c r="K107" s="5">
        <v>0.53</v>
      </c>
      <c r="L107" s="3">
        <v>12.5</v>
      </c>
      <c r="M107" s="3">
        <v>0</v>
      </c>
      <c r="N107" s="3">
        <v>0</v>
      </c>
      <c r="O107" s="3">
        <v>0.6</v>
      </c>
      <c r="P107" s="2">
        <v>0</v>
      </c>
      <c r="Q107" s="2">
        <v>30</v>
      </c>
      <c r="R107" s="2">
        <v>90</v>
      </c>
      <c r="S107" s="2">
        <v>110</v>
      </c>
      <c r="T107" s="2">
        <v>-30</v>
      </c>
      <c r="U107" s="2">
        <v>-130</v>
      </c>
      <c r="V107" s="2">
        <v>-290</v>
      </c>
      <c r="W107" s="2">
        <f t="shared" si="5"/>
        <v>160</v>
      </c>
      <c r="X107" s="6">
        <f t="shared" si="6"/>
        <v>10.344827586206897</v>
      </c>
      <c r="Y107" s="6">
        <f t="shared" si="7"/>
        <v>44.827586206896555</v>
      </c>
    </row>
    <row r="108" spans="1:25" x14ac:dyDescent="0.25">
      <c r="A108" s="1">
        <v>44566</v>
      </c>
      <c r="B108" t="s">
        <v>140</v>
      </c>
      <c r="C108" t="s">
        <v>26</v>
      </c>
      <c r="D108" t="s">
        <v>37</v>
      </c>
      <c r="E108" t="s">
        <v>141</v>
      </c>
      <c r="F108" t="s">
        <v>29</v>
      </c>
      <c r="G108" t="s">
        <v>30</v>
      </c>
      <c r="H108" t="s">
        <v>35</v>
      </c>
      <c r="I108" s="2">
        <v>339</v>
      </c>
      <c r="J108" s="6">
        <f t="shared" si="4"/>
        <v>203.4</v>
      </c>
      <c r="K108" s="5">
        <v>0.6</v>
      </c>
      <c r="L108" s="3">
        <v>0</v>
      </c>
      <c r="M108" s="3">
        <v>25</v>
      </c>
      <c r="N108" s="3">
        <v>0</v>
      </c>
      <c r="O108" s="3">
        <v>0.6</v>
      </c>
      <c r="P108" s="2">
        <v>0</v>
      </c>
      <c r="Q108" s="2">
        <v>-50</v>
      </c>
      <c r="R108" s="2">
        <v>-90</v>
      </c>
      <c r="S108" s="2">
        <v>-170</v>
      </c>
      <c r="T108" s="2">
        <v>-240</v>
      </c>
      <c r="U108" s="2">
        <v>-360</v>
      </c>
      <c r="V108" s="2">
        <v>-430</v>
      </c>
      <c r="W108" s="2">
        <f t="shared" si="5"/>
        <v>70</v>
      </c>
      <c r="X108" s="6">
        <f t="shared" si="6"/>
        <v>55.813953488372093</v>
      </c>
      <c r="Y108" s="6">
        <f t="shared" si="7"/>
        <v>83.720930232558146</v>
      </c>
    </row>
    <row r="109" spans="1:25" x14ac:dyDescent="0.25">
      <c r="A109" s="1">
        <v>44726</v>
      </c>
      <c r="B109" t="s">
        <v>25</v>
      </c>
      <c r="C109" t="s">
        <v>26</v>
      </c>
      <c r="D109" t="s">
        <v>37</v>
      </c>
      <c r="E109" t="s">
        <v>28</v>
      </c>
      <c r="F109" t="s">
        <v>29</v>
      </c>
      <c r="G109" t="s">
        <v>30</v>
      </c>
      <c r="H109" t="s">
        <v>31</v>
      </c>
      <c r="I109" s="2">
        <v>325</v>
      </c>
      <c r="J109" s="6">
        <f t="shared" si="4"/>
        <v>201.5</v>
      </c>
      <c r="K109" s="5">
        <v>0.62</v>
      </c>
      <c r="L109" s="3">
        <v>8</v>
      </c>
      <c r="M109" s="3">
        <v>0</v>
      </c>
      <c r="N109" s="3">
        <v>0</v>
      </c>
      <c r="O109" s="3">
        <v>0.3</v>
      </c>
      <c r="P109" s="2">
        <v>0</v>
      </c>
      <c r="Q109" s="2">
        <v>20</v>
      </c>
      <c r="R109" s="2">
        <v>50</v>
      </c>
      <c r="S109" s="2">
        <v>80</v>
      </c>
      <c r="T109" s="2">
        <v>-50</v>
      </c>
      <c r="U109" s="2">
        <v>-150</v>
      </c>
      <c r="V109" s="2">
        <v>-360</v>
      </c>
      <c r="W109" s="2">
        <f t="shared" si="5"/>
        <v>210</v>
      </c>
      <c r="X109" s="6">
        <f t="shared" si="6"/>
        <v>13.888888888888889</v>
      </c>
      <c r="Y109" s="6">
        <f t="shared" si="7"/>
        <v>41.666666666666664</v>
      </c>
    </row>
    <row r="110" spans="1:25" x14ac:dyDescent="0.25">
      <c r="A110" s="1">
        <v>44791</v>
      </c>
      <c r="B110" t="s">
        <v>142</v>
      </c>
      <c r="D110" t="s">
        <v>37</v>
      </c>
      <c r="E110" t="s">
        <v>108</v>
      </c>
      <c r="F110" t="s">
        <v>79</v>
      </c>
      <c r="G110" t="s">
        <v>55</v>
      </c>
      <c r="H110" t="s">
        <v>35</v>
      </c>
      <c r="I110" s="2">
        <v>356</v>
      </c>
      <c r="J110" s="6">
        <f t="shared" si="4"/>
        <v>185.12</v>
      </c>
      <c r="K110" s="5">
        <v>0.52</v>
      </c>
      <c r="L110" s="3">
        <v>15</v>
      </c>
      <c r="M110" s="3">
        <v>0</v>
      </c>
      <c r="N110" s="3">
        <v>0</v>
      </c>
      <c r="O110" s="3">
        <v>0.6</v>
      </c>
      <c r="P110" s="2">
        <v>0</v>
      </c>
      <c r="Q110" s="2">
        <v>60</v>
      </c>
      <c r="R110" s="2">
        <v>110</v>
      </c>
      <c r="S110" s="2">
        <v>160</v>
      </c>
      <c r="T110" s="2">
        <v>10</v>
      </c>
      <c r="U110" s="2">
        <v>-140</v>
      </c>
      <c r="V110" s="2">
        <v>-290</v>
      </c>
      <c r="W110" s="2">
        <f t="shared" si="5"/>
        <v>150</v>
      </c>
      <c r="X110" s="6">
        <f t="shared" si="6"/>
        <v>-3.4482758620689653</v>
      </c>
      <c r="Y110" s="6">
        <f t="shared" si="7"/>
        <v>48.275862068965516</v>
      </c>
    </row>
    <row r="111" spans="1:25" x14ac:dyDescent="0.25">
      <c r="A111" s="1">
        <v>44574</v>
      </c>
      <c r="B111" t="s">
        <v>143</v>
      </c>
      <c r="D111" t="s">
        <v>37</v>
      </c>
      <c r="E111" t="s">
        <v>62</v>
      </c>
      <c r="F111" t="s">
        <v>29</v>
      </c>
      <c r="G111" t="s">
        <v>30</v>
      </c>
      <c r="H111" t="s">
        <v>43</v>
      </c>
      <c r="I111" s="2">
        <v>337</v>
      </c>
      <c r="J111" s="6">
        <f t="shared" si="4"/>
        <v>185.35000000000002</v>
      </c>
      <c r="K111" s="5">
        <v>0.55000000000000004</v>
      </c>
      <c r="L111" s="3">
        <v>0</v>
      </c>
      <c r="M111" s="3">
        <v>0</v>
      </c>
      <c r="N111" s="3">
        <v>5.5</v>
      </c>
      <c r="O111" s="3">
        <v>0.6</v>
      </c>
      <c r="P111" s="2">
        <v>0</v>
      </c>
      <c r="Q111" s="2">
        <v>-70</v>
      </c>
      <c r="R111" s="2">
        <v>-110</v>
      </c>
      <c r="S111" s="2">
        <v>-180</v>
      </c>
      <c r="T111" s="2">
        <v>-260</v>
      </c>
      <c r="U111" s="2">
        <v>-340</v>
      </c>
      <c r="V111" s="2">
        <v>-430</v>
      </c>
      <c r="W111" s="2">
        <f t="shared" si="5"/>
        <v>90</v>
      </c>
      <c r="X111" s="6">
        <f t="shared" si="6"/>
        <v>60.465116279069768</v>
      </c>
      <c r="Y111" s="6">
        <f t="shared" si="7"/>
        <v>79.069767441860463</v>
      </c>
    </row>
    <row r="112" spans="1:25" x14ac:dyDescent="0.25">
      <c r="A112" s="1">
        <v>44726</v>
      </c>
      <c r="B112" t="s">
        <v>25</v>
      </c>
      <c r="C112" t="s">
        <v>26</v>
      </c>
      <c r="D112" t="s">
        <v>37</v>
      </c>
      <c r="E112" t="s">
        <v>28</v>
      </c>
      <c r="F112" t="s">
        <v>29</v>
      </c>
      <c r="G112" t="s">
        <v>30</v>
      </c>
      <c r="H112" t="s">
        <v>31</v>
      </c>
      <c r="I112" s="2">
        <v>330</v>
      </c>
      <c r="J112" s="6">
        <f t="shared" si="4"/>
        <v>201.29999999999998</v>
      </c>
      <c r="K112" s="5">
        <v>0.61</v>
      </c>
      <c r="L112" s="3">
        <v>8</v>
      </c>
      <c r="M112" s="3">
        <v>0</v>
      </c>
      <c r="N112" s="3">
        <v>0</v>
      </c>
      <c r="O112" s="3">
        <v>0.3</v>
      </c>
      <c r="P112" s="2">
        <v>0</v>
      </c>
      <c r="Q112" s="2">
        <v>10</v>
      </c>
      <c r="R112" s="2">
        <v>30</v>
      </c>
      <c r="S112" s="2">
        <v>60</v>
      </c>
      <c r="T112" s="2">
        <v>-50</v>
      </c>
      <c r="U112" s="2">
        <v>-170</v>
      </c>
      <c r="V112" s="2">
        <v>-390</v>
      </c>
      <c r="W112" s="2">
        <f t="shared" si="5"/>
        <v>220</v>
      </c>
      <c r="X112" s="6">
        <f t="shared" si="6"/>
        <v>12.820512820512821</v>
      </c>
      <c r="Y112" s="6">
        <f t="shared" si="7"/>
        <v>43.589743589743591</v>
      </c>
    </row>
    <row r="113" spans="1:25" x14ac:dyDescent="0.25">
      <c r="A113" s="1">
        <v>44802</v>
      </c>
      <c r="B113" t="s">
        <v>144</v>
      </c>
      <c r="D113" t="s">
        <v>37</v>
      </c>
      <c r="F113" t="s">
        <v>29</v>
      </c>
      <c r="G113" t="s">
        <v>30</v>
      </c>
      <c r="H113" t="s">
        <v>145</v>
      </c>
      <c r="I113" s="2">
        <v>336</v>
      </c>
      <c r="J113" s="6">
        <f t="shared" si="4"/>
        <v>184.8</v>
      </c>
      <c r="K113" s="5">
        <v>0.55000000000000004</v>
      </c>
      <c r="L113" s="3">
        <v>12.5</v>
      </c>
      <c r="M113" s="3">
        <v>0</v>
      </c>
      <c r="N113" s="3">
        <v>0</v>
      </c>
      <c r="O113" s="3">
        <v>0.6</v>
      </c>
      <c r="P113" s="2">
        <v>0</v>
      </c>
      <c r="Q113" s="2">
        <v>50</v>
      </c>
      <c r="R113" s="2">
        <v>90</v>
      </c>
      <c r="S113" s="2">
        <v>120</v>
      </c>
      <c r="T113" s="2">
        <v>-20</v>
      </c>
      <c r="U113" s="2">
        <v>-120</v>
      </c>
      <c r="V113" s="2">
        <v>-290</v>
      </c>
      <c r="W113" s="2">
        <f t="shared" si="5"/>
        <v>170</v>
      </c>
      <c r="X113" s="6">
        <f t="shared" si="6"/>
        <v>6.8965517241379306</v>
      </c>
      <c r="Y113" s="6">
        <f t="shared" si="7"/>
        <v>41.379310344827587</v>
      </c>
    </row>
    <row r="114" spans="1:25" x14ac:dyDescent="0.25">
      <c r="A114" s="1">
        <v>44580</v>
      </c>
      <c r="B114" t="s">
        <v>146</v>
      </c>
      <c r="D114" t="s">
        <v>37</v>
      </c>
      <c r="E114" t="s">
        <v>78</v>
      </c>
      <c r="F114" t="s">
        <v>147</v>
      </c>
      <c r="G114" t="s">
        <v>83</v>
      </c>
      <c r="H114" t="s">
        <v>148</v>
      </c>
      <c r="I114" s="2">
        <v>340</v>
      </c>
      <c r="J114" s="6">
        <f t="shared" si="4"/>
        <v>190.4</v>
      </c>
      <c r="K114" s="5">
        <v>0.56000000000000005</v>
      </c>
      <c r="L114" s="3">
        <v>0</v>
      </c>
      <c r="M114" s="3">
        <v>0</v>
      </c>
      <c r="N114" s="3">
        <v>0</v>
      </c>
      <c r="O114" s="3">
        <v>0.6</v>
      </c>
      <c r="P114" s="2">
        <v>0</v>
      </c>
      <c r="Q114" s="2">
        <v>-50</v>
      </c>
      <c r="R114" s="2">
        <v>-100</v>
      </c>
      <c r="S114" s="2">
        <v>-140</v>
      </c>
      <c r="T114" s="2">
        <v>-200</v>
      </c>
      <c r="U114" s="2">
        <v>-280</v>
      </c>
      <c r="V114" s="2">
        <v>-430</v>
      </c>
      <c r="W114" s="2">
        <f t="shared" si="5"/>
        <v>150</v>
      </c>
      <c r="X114" s="6">
        <f t="shared" si="6"/>
        <v>46.511627906976742</v>
      </c>
      <c r="Y114" s="6">
        <f t="shared" si="7"/>
        <v>65.116279069767444</v>
      </c>
    </row>
    <row r="115" spans="1:25" x14ac:dyDescent="0.25">
      <c r="A115" s="1">
        <v>44803</v>
      </c>
      <c r="B115" t="s">
        <v>96</v>
      </c>
      <c r="D115" t="s">
        <v>37</v>
      </c>
      <c r="F115" t="s">
        <v>29</v>
      </c>
      <c r="G115" t="s">
        <v>30</v>
      </c>
      <c r="H115" t="s">
        <v>43</v>
      </c>
      <c r="I115" s="2">
        <v>336</v>
      </c>
      <c r="J115" s="6">
        <f t="shared" si="4"/>
        <v>184.8</v>
      </c>
      <c r="K115" s="5">
        <v>0.55000000000000004</v>
      </c>
      <c r="L115" s="3">
        <v>15</v>
      </c>
      <c r="M115" s="3">
        <v>0</v>
      </c>
      <c r="N115" s="3">
        <v>5.5</v>
      </c>
      <c r="O115" s="3">
        <v>0.6</v>
      </c>
      <c r="P115" s="2">
        <v>0</v>
      </c>
      <c r="Q115" s="2">
        <v>60</v>
      </c>
      <c r="R115" s="2">
        <v>110</v>
      </c>
      <c r="S115" s="2">
        <v>160</v>
      </c>
      <c r="T115" s="2">
        <v>0</v>
      </c>
      <c r="U115" s="2">
        <v>-180</v>
      </c>
      <c r="V115" s="2">
        <v>-290</v>
      </c>
      <c r="W115" s="2">
        <f t="shared" si="5"/>
        <v>110</v>
      </c>
      <c r="X115" s="6">
        <f t="shared" si="6"/>
        <v>0</v>
      </c>
      <c r="Y115" s="6">
        <f t="shared" si="7"/>
        <v>62.068965517241381</v>
      </c>
    </row>
    <row r="116" spans="1:25" x14ac:dyDescent="0.25">
      <c r="A116" s="1">
        <v>44704</v>
      </c>
      <c r="B116" t="s">
        <v>135</v>
      </c>
      <c r="D116" t="s">
        <v>37</v>
      </c>
      <c r="F116" t="s">
        <v>29</v>
      </c>
      <c r="G116" t="s">
        <v>30</v>
      </c>
      <c r="H116" t="s">
        <v>56</v>
      </c>
      <c r="I116" s="2">
        <v>350</v>
      </c>
      <c r="J116" s="6">
        <f t="shared" si="4"/>
        <v>178.5</v>
      </c>
      <c r="K116" s="5">
        <v>0.51</v>
      </c>
      <c r="L116" s="3">
        <v>0</v>
      </c>
      <c r="M116" s="3">
        <v>0</v>
      </c>
      <c r="N116" s="3">
        <v>5.5</v>
      </c>
      <c r="O116" s="3">
        <v>0.6</v>
      </c>
      <c r="P116" s="2">
        <v>0</v>
      </c>
      <c r="Q116" s="2">
        <v>-40</v>
      </c>
      <c r="R116" s="2">
        <v>-80</v>
      </c>
      <c r="S116" s="2">
        <v>-150</v>
      </c>
      <c r="T116" s="2">
        <v>-230</v>
      </c>
      <c r="U116" s="2">
        <v>-310</v>
      </c>
      <c r="V116" s="2">
        <v>-430</v>
      </c>
      <c r="W116" s="2">
        <f t="shared" si="5"/>
        <v>120</v>
      </c>
      <c r="X116" s="6">
        <f t="shared" si="6"/>
        <v>53.488372093023258</v>
      </c>
      <c r="Y116" s="6">
        <f t="shared" si="7"/>
        <v>72.093023255813947</v>
      </c>
    </row>
    <row r="117" spans="1:25" x14ac:dyDescent="0.25">
      <c r="A117" s="1">
        <v>44823</v>
      </c>
      <c r="B117" t="s">
        <v>149</v>
      </c>
      <c r="D117" t="s">
        <v>37</v>
      </c>
      <c r="E117" t="s">
        <v>81</v>
      </c>
      <c r="F117" t="s">
        <v>126</v>
      </c>
      <c r="G117" t="s">
        <v>30</v>
      </c>
      <c r="H117" t="s">
        <v>35</v>
      </c>
      <c r="I117" s="2">
        <v>343</v>
      </c>
      <c r="J117" s="6">
        <f t="shared" si="4"/>
        <v>185.22</v>
      </c>
      <c r="K117" s="5">
        <v>0.54</v>
      </c>
      <c r="L117" s="3">
        <v>15</v>
      </c>
      <c r="M117" s="3">
        <v>0</v>
      </c>
      <c r="N117" s="3">
        <v>5.5</v>
      </c>
      <c r="O117" s="3">
        <v>0.6</v>
      </c>
      <c r="P117" s="2">
        <v>0</v>
      </c>
      <c r="Q117" s="2">
        <v>60</v>
      </c>
      <c r="R117" s="2">
        <v>120</v>
      </c>
      <c r="S117" s="2">
        <v>150</v>
      </c>
      <c r="T117" s="2">
        <v>-10</v>
      </c>
      <c r="U117" s="2">
        <v>-130</v>
      </c>
      <c r="V117" s="2">
        <v>-290</v>
      </c>
      <c r="W117" s="2">
        <f t="shared" si="5"/>
        <v>160</v>
      </c>
      <c r="X117" s="6">
        <f t="shared" si="6"/>
        <v>3.4482758620689653</v>
      </c>
      <c r="Y117" s="6">
        <f t="shared" si="7"/>
        <v>44.827586206896555</v>
      </c>
    </row>
    <row r="118" spans="1:25" x14ac:dyDescent="0.25">
      <c r="A118" s="1">
        <v>44732</v>
      </c>
      <c r="B118" t="s">
        <v>129</v>
      </c>
      <c r="D118" t="s">
        <v>37</v>
      </c>
      <c r="F118" t="s">
        <v>29</v>
      </c>
      <c r="G118" t="s">
        <v>30</v>
      </c>
      <c r="H118" t="s">
        <v>35</v>
      </c>
      <c r="I118" s="2">
        <v>336</v>
      </c>
      <c r="J118" s="6">
        <f t="shared" si="4"/>
        <v>184.8</v>
      </c>
      <c r="K118" s="5">
        <v>0.55000000000000004</v>
      </c>
      <c r="L118" s="3">
        <v>0</v>
      </c>
      <c r="M118" s="3">
        <v>0</v>
      </c>
      <c r="N118" s="3">
        <v>5.5</v>
      </c>
      <c r="O118" s="3">
        <v>0.6</v>
      </c>
      <c r="P118" s="2">
        <v>0</v>
      </c>
      <c r="Q118" s="2">
        <v>-40</v>
      </c>
      <c r="R118" s="2">
        <v>-90</v>
      </c>
      <c r="S118" s="2">
        <v>-130</v>
      </c>
      <c r="T118" s="2">
        <v>-190</v>
      </c>
      <c r="U118" s="2">
        <v>-300</v>
      </c>
      <c r="V118" s="2">
        <v>-430</v>
      </c>
      <c r="W118" s="2">
        <f t="shared" si="5"/>
        <v>130</v>
      </c>
      <c r="X118" s="6">
        <f t="shared" si="6"/>
        <v>44.186046511627907</v>
      </c>
      <c r="Y118" s="6">
        <f t="shared" si="7"/>
        <v>69.767441860465112</v>
      </c>
    </row>
    <row r="119" spans="1:25" x14ac:dyDescent="0.25">
      <c r="A119" s="1">
        <v>44861</v>
      </c>
      <c r="B119" t="s">
        <v>97</v>
      </c>
      <c r="D119" t="s">
        <v>37</v>
      </c>
      <c r="E119" t="s">
        <v>150</v>
      </c>
      <c r="F119" t="s">
        <v>29</v>
      </c>
      <c r="G119" t="s">
        <v>30</v>
      </c>
      <c r="H119" t="s">
        <v>35</v>
      </c>
      <c r="I119" s="2">
        <v>347</v>
      </c>
      <c r="J119" s="6">
        <f t="shared" si="4"/>
        <v>190.85000000000002</v>
      </c>
      <c r="K119" s="5">
        <v>0.55000000000000004</v>
      </c>
      <c r="L119" s="3">
        <v>12.5</v>
      </c>
      <c r="M119" s="3">
        <v>0</v>
      </c>
      <c r="N119" s="3">
        <v>5.5</v>
      </c>
      <c r="O119" s="3">
        <v>0.6</v>
      </c>
      <c r="P119" s="2">
        <v>0</v>
      </c>
      <c r="Q119" s="2">
        <v>20</v>
      </c>
      <c r="R119" s="2">
        <v>60</v>
      </c>
      <c r="S119" s="2">
        <v>110</v>
      </c>
      <c r="T119" s="2">
        <v>-20</v>
      </c>
      <c r="U119" s="2">
        <v>-130</v>
      </c>
      <c r="V119" s="2">
        <v>-290</v>
      </c>
      <c r="W119" s="2">
        <f t="shared" si="5"/>
        <v>160</v>
      </c>
      <c r="X119" s="6">
        <f t="shared" si="6"/>
        <v>6.8965517241379306</v>
      </c>
      <c r="Y119" s="6">
        <f t="shared" si="7"/>
        <v>44.827586206896555</v>
      </c>
    </row>
    <row r="120" spans="1:25" x14ac:dyDescent="0.25">
      <c r="A120" s="1">
        <v>44823</v>
      </c>
      <c r="B120" t="s">
        <v>149</v>
      </c>
      <c r="D120" t="s">
        <v>37</v>
      </c>
      <c r="E120" t="s">
        <v>81</v>
      </c>
      <c r="F120" t="s">
        <v>126</v>
      </c>
      <c r="G120" t="s">
        <v>30</v>
      </c>
      <c r="H120" t="s">
        <v>35</v>
      </c>
      <c r="I120" s="2">
        <v>343</v>
      </c>
      <c r="J120" s="6">
        <f t="shared" si="4"/>
        <v>185.22</v>
      </c>
      <c r="K120" s="5">
        <v>0.54</v>
      </c>
      <c r="L120" s="3">
        <v>0</v>
      </c>
      <c r="M120" s="3">
        <v>0</v>
      </c>
      <c r="N120" s="3">
        <v>5.5</v>
      </c>
      <c r="O120" s="3">
        <v>0.6</v>
      </c>
      <c r="P120" s="2">
        <v>0</v>
      </c>
      <c r="Q120" s="2">
        <v>-40</v>
      </c>
      <c r="R120" s="2">
        <v>-80</v>
      </c>
      <c r="S120" s="2">
        <v>-140</v>
      </c>
      <c r="T120" s="2">
        <v>-220</v>
      </c>
      <c r="U120" s="2">
        <v>-300</v>
      </c>
      <c r="V120" s="2">
        <v>-430</v>
      </c>
      <c r="W120" s="2">
        <f t="shared" si="5"/>
        <v>130</v>
      </c>
      <c r="X120" s="6">
        <f t="shared" si="6"/>
        <v>51.162790697674417</v>
      </c>
      <c r="Y120" s="6">
        <f t="shared" si="7"/>
        <v>69.767441860465112</v>
      </c>
    </row>
    <row r="121" spans="1:25" x14ac:dyDescent="0.25">
      <c r="A121" s="1">
        <v>44409</v>
      </c>
      <c r="B121" t="s">
        <v>65</v>
      </c>
      <c r="D121" t="s">
        <v>37</v>
      </c>
      <c r="E121" t="s">
        <v>66</v>
      </c>
      <c r="F121" t="s">
        <v>67</v>
      </c>
      <c r="G121" t="s">
        <v>68</v>
      </c>
      <c r="H121" t="s">
        <v>56</v>
      </c>
      <c r="I121" s="2">
        <v>380</v>
      </c>
      <c r="J121" s="6">
        <f t="shared" si="4"/>
        <v>178.6</v>
      </c>
      <c r="K121" s="5">
        <v>0.47</v>
      </c>
      <c r="L121" s="3">
        <v>12.5</v>
      </c>
      <c r="M121" s="3">
        <v>25</v>
      </c>
      <c r="N121" s="3">
        <v>6</v>
      </c>
      <c r="O121" s="3">
        <v>0.6</v>
      </c>
      <c r="P121" s="2">
        <v>0</v>
      </c>
      <c r="Q121" s="2">
        <v>50</v>
      </c>
      <c r="R121" s="2">
        <v>80</v>
      </c>
      <c r="S121" s="2">
        <v>120</v>
      </c>
      <c r="T121" s="2">
        <v>20</v>
      </c>
      <c r="U121" s="2">
        <v>-110</v>
      </c>
      <c r="V121" s="2">
        <v>-280</v>
      </c>
      <c r="W121" s="2">
        <f t="shared" si="5"/>
        <v>170</v>
      </c>
      <c r="X121" s="6">
        <f t="shared" si="6"/>
        <v>-7.1428571428571432</v>
      </c>
      <c r="Y121" s="6">
        <f t="shared" si="7"/>
        <v>39.285714285714285</v>
      </c>
    </row>
    <row r="122" spans="1:25" x14ac:dyDescent="0.25">
      <c r="A122" s="1">
        <v>44754</v>
      </c>
      <c r="B122" t="s">
        <v>25</v>
      </c>
      <c r="C122" t="s">
        <v>26</v>
      </c>
      <c r="D122" t="s">
        <v>37</v>
      </c>
      <c r="E122" t="s">
        <v>28</v>
      </c>
      <c r="F122" t="s">
        <v>29</v>
      </c>
      <c r="G122" t="s">
        <v>30</v>
      </c>
      <c r="H122" t="s">
        <v>31</v>
      </c>
      <c r="I122" s="2">
        <v>330</v>
      </c>
      <c r="J122" s="6">
        <f t="shared" si="4"/>
        <v>201.29999999999998</v>
      </c>
      <c r="K122" s="5">
        <v>0.61</v>
      </c>
      <c r="L122" s="3">
        <v>8</v>
      </c>
      <c r="M122" s="3">
        <v>0</v>
      </c>
      <c r="N122" s="3">
        <v>0</v>
      </c>
      <c r="O122" s="3">
        <v>0.3</v>
      </c>
      <c r="P122" s="2">
        <v>0</v>
      </c>
      <c r="Q122" s="2">
        <v>10</v>
      </c>
      <c r="R122" s="2">
        <v>40</v>
      </c>
      <c r="S122" s="2">
        <v>90</v>
      </c>
      <c r="T122" s="2">
        <v>-70</v>
      </c>
      <c r="U122" s="2">
        <v>-180</v>
      </c>
      <c r="V122" s="2">
        <v>-310</v>
      </c>
      <c r="W122" s="2">
        <f t="shared" si="5"/>
        <v>130</v>
      </c>
      <c r="X122" s="6">
        <f t="shared" si="6"/>
        <v>22.580645161290324</v>
      </c>
      <c r="Y122" s="6">
        <f t="shared" si="7"/>
        <v>58.064516129032256</v>
      </c>
    </row>
    <row r="123" spans="1:25" x14ac:dyDescent="0.25">
      <c r="A123" s="1">
        <v>44861</v>
      </c>
      <c r="B123" t="s">
        <v>97</v>
      </c>
      <c r="D123" t="s">
        <v>37</v>
      </c>
      <c r="E123" t="s">
        <v>150</v>
      </c>
      <c r="F123" t="s">
        <v>29</v>
      </c>
      <c r="G123" t="s">
        <v>30</v>
      </c>
      <c r="H123" t="s">
        <v>35</v>
      </c>
      <c r="I123" s="2">
        <v>347</v>
      </c>
      <c r="J123" s="6">
        <f t="shared" si="4"/>
        <v>190.85000000000002</v>
      </c>
      <c r="K123" s="5">
        <v>0.55000000000000004</v>
      </c>
      <c r="L123" s="3">
        <v>0</v>
      </c>
      <c r="M123" s="3">
        <v>0</v>
      </c>
      <c r="N123" s="3">
        <v>5.5</v>
      </c>
      <c r="O123" s="3">
        <v>0.6</v>
      </c>
      <c r="P123" s="2">
        <v>0</v>
      </c>
      <c r="Q123" s="2">
        <v>-50</v>
      </c>
      <c r="R123" s="2">
        <v>-100</v>
      </c>
      <c r="S123" s="2">
        <v>-140</v>
      </c>
      <c r="T123" s="2">
        <v>-220</v>
      </c>
      <c r="U123" s="2">
        <v>-300</v>
      </c>
      <c r="V123" s="2">
        <v>-430</v>
      </c>
      <c r="W123" s="2">
        <f t="shared" si="5"/>
        <v>130</v>
      </c>
      <c r="X123" s="6">
        <f t="shared" si="6"/>
        <v>51.162790697674417</v>
      </c>
      <c r="Y123" s="6">
        <f t="shared" si="7"/>
        <v>69.767441860465112</v>
      </c>
    </row>
    <row r="124" spans="1:25" x14ac:dyDescent="0.25">
      <c r="A124" s="1">
        <v>44796</v>
      </c>
      <c r="B124" t="s">
        <v>124</v>
      </c>
      <c r="D124" t="s">
        <v>37</v>
      </c>
      <c r="E124" t="s">
        <v>41</v>
      </c>
      <c r="F124" t="s">
        <v>42</v>
      </c>
      <c r="G124" t="s">
        <v>30</v>
      </c>
      <c r="H124" t="s">
        <v>51</v>
      </c>
      <c r="I124" s="2">
        <v>370</v>
      </c>
      <c r="J124" s="6">
        <f t="shared" si="4"/>
        <v>196.10000000000002</v>
      </c>
      <c r="K124" s="5">
        <v>0.53</v>
      </c>
      <c r="L124" s="3">
        <v>0</v>
      </c>
      <c r="M124" s="3">
        <v>0</v>
      </c>
      <c r="N124" s="3">
        <v>0</v>
      </c>
      <c r="O124" s="3">
        <v>0.6</v>
      </c>
      <c r="P124" s="2">
        <v>0</v>
      </c>
      <c r="Q124" s="2">
        <v>-40</v>
      </c>
      <c r="R124" s="2">
        <v>-80</v>
      </c>
      <c r="S124" s="2">
        <v>-120</v>
      </c>
      <c r="T124" s="2">
        <v>-200</v>
      </c>
      <c r="U124" s="2">
        <v>-290</v>
      </c>
      <c r="V124" s="2">
        <v>-420</v>
      </c>
      <c r="W124" s="2">
        <f t="shared" si="5"/>
        <v>130</v>
      </c>
      <c r="X124" s="6">
        <f t="shared" si="6"/>
        <v>47.61904761904762</v>
      </c>
      <c r="Y124" s="6">
        <f t="shared" si="7"/>
        <v>69.047619047619051</v>
      </c>
    </row>
    <row r="125" spans="1:25" x14ac:dyDescent="0.25">
      <c r="A125" s="1">
        <v>44426</v>
      </c>
      <c r="B125" t="s">
        <v>98</v>
      </c>
      <c r="C125" t="s">
        <v>26</v>
      </c>
      <c r="D125" t="s">
        <v>37</v>
      </c>
      <c r="E125" t="s">
        <v>99</v>
      </c>
      <c r="F125" t="s">
        <v>29</v>
      </c>
      <c r="G125" t="s">
        <v>30</v>
      </c>
      <c r="H125" t="s">
        <v>31</v>
      </c>
      <c r="I125" s="2">
        <v>336</v>
      </c>
      <c r="J125" s="6">
        <f t="shared" si="4"/>
        <v>184.8</v>
      </c>
      <c r="K125" s="5">
        <v>0.55000000000000004</v>
      </c>
      <c r="L125" s="3">
        <v>12.5</v>
      </c>
      <c r="M125" s="3">
        <v>25</v>
      </c>
      <c r="N125" s="3">
        <v>0</v>
      </c>
      <c r="O125" s="3">
        <v>0.6</v>
      </c>
      <c r="P125" s="2">
        <v>0</v>
      </c>
      <c r="Q125" s="2">
        <v>140</v>
      </c>
      <c r="R125" s="2">
        <v>150</v>
      </c>
      <c r="S125" s="2">
        <v>150</v>
      </c>
      <c r="T125" s="2">
        <v>60</v>
      </c>
      <c r="U125" s="2">
        <v>-170</v>
      </c>
      <c r="V125" s="2">
        <v>-280</v>
      </c>
      <c r="W125" s="2">
        <f t="shared" si="5"/>
        <v>110</v>
      </c>
      <c r="X125" s="6">
        <f t="shared" si="6"/>
        <v>-21.428571428571427</v>
      </c>
      <c r="Y125" s="6">
        <f t="shared" si="7"/>
        <v>60.714285714285715</v>
      </c>
    </row>
    <row r="126" spans="1:25" x14ac:dyDescent="0.25">
      <c r="A126" s="1">
        <v>44389</v>
      </c>
      <c r="B126" t="s">
        <v>151</v>
      </c>
      <c r="C126" t="s">
        <v>26</v>
      </c>
      <c r="D126" t="s">
        <v>37</v>
      </c>
      <c r="F126" t="s">
        <v>54</v>
      </c>
      <c r="G126" t="s">
        <v>55</v>
      </c>
      <c r="H126" t="s">
        <v>56</v>
      </c>
      <c r="I126" s="2">
        <v>311</v>
      </c>
      <c r="J126" s="6">
        <f t="shared" si="4"/>
        <v>192.82</v>
      </c>
      <c r="K126" s="5">
        <v>0.62</v>
      </c>
      <c r="L126" s="3">
        <v>0</v>
      </c>
      <c r="M126" s="3">
        <v>25</v>
      </c>
      <c r="N126" s="3">
        <v>0</v>
      </c>
      <c r="O126" s="3">
        <v>0</v>
      </c>
      <c r="P126" s="2">
        <v>0</v>
      </c>
      <c r="Q126" s="2">
        <v>-10</v>
      </c>
      <c r="R126" s="2">
        <v>-30</v>
      </c>
      <c r="S126" s="2">
        <v>-50</v>
      </c>
      <c r="T126" s="2">
        <v>-140</v>
      </c>
      <c r="U126" s="2">
        <v>-270</v>
      </c>
      <c r="V126" s="2">
        <v>-410</v>
      </c>
      <c r="W126" s="2">
        <f t="shared" si="5"/>
        <v>140</v>
      </c>
      <c r="X126" s="6">
        <f t="shared" si="6"/>
        <v>34.146341463414636</v>
      </c>
      <c r="Y126" s="6">
        <f t="shared" si="7"/>
        <v>65.853658536585371</v>
      </c>
    </row>
    <row r="127" spans="1:25" x14ac:dyDescent="0.25">
      <c r="A127" s="1">
        <v>44497</v>
      </c>
      <c r="B127" t="s">
        <v>152</v>
      </c>
      <c r="C127" t="s">
        <v>26</v>
      </c>
      <c r="D127" t="s">
        <v>37</v>
      </c>
      <c r="F127" t="s">
        <v>29</v>
      </c>
      <c r="G127" t="s">
        <v>30</v>
      </c>
      <c r="H127" t="s">
        <v>35</v>
      </c>
      <c r="I127" s="2">
        <v>344</v>
      </c>
      <c r="J127" s="6">
        <f t="shared" si="4"/>
        <v>185.76000000000002</v>
      </c>
      <c r="K127" s="5">
        <v>0.54</v>
      </c>
      <c r="L127" s="3">
        <v>10</v>
      </c>
      <c r="M127" s="3">
        <v>0</v>
      </c>
      <c r="N127" s="3">
        <v>5.5</v>
      </c>
      <c r="O127" s="3">
        <v>0.6</v>
      </c>
      <c r="P127" s="2">
        <v>0</v>
      </c>
      <c r="Q127" s="2">
        <v>60</v>
      </c>
      <c r="R127" s="2">
        <v>110</v>
      </c>
      <c r="S127" s="2">
        <v>140</v>
      </c>
      <c r="T127" s="2">
        <v>20</v>
      </c>
      <c r="U127" s="2">
        <v>-150</v>
      </c>
      <c r="V127" s="2">
        <v>-280</v>
      </c>
      <c r="W127" s="2">
        <f t="shared" si="5"/>
        <v>130</v>
      </c>
      <c r="X127" s="6">
        <f t="shared" si="6"/>
        <v>-7.1428571428571432</v>
      </c>
      <c r="Y127" s="6">
        <f t="shared" si="7"/>
        <v>53.571428571428569</v>
      </c>
    </row>
    <row r="128" spans="1:25" x14ac:dyDescent="0.25">
      <c r="A128" s="1">
        <v>44389</v>
      </c>
      <c r="B128" t="s">
        <v>151</v>
      </c>
      <c r="D128" t="s">
        <v>37</v>
      </c>
      <c r="E128" t="s">
        <v>115</v>
      </c>
      <c r="F128" t="s">
        <v>54</v>
      </c>
      <c r="G128" t="s">
        <v>55</v>
      </c>
      <c r="H128" t="s">
        <v>56</v>
      </c>
      <c r="I128" s="2">
        <v>311</v>
      </c>
      <c r="J128" s="6">
        <f t="shared" si="4"/>
        <v>192.82</v>
      </c>
      <c r="K128" s="5">
        <v>0.62</v>
      </c>
      <c r="L128" s="3">
        <v>0</v>
      </c>
      <c r="M128" s="3">
        <v>25</v>
      </c>
      <c r="N128" s="3">
        <v>0</v>
      </c>
      <c r="O128" s="3">
        <v>0</v>
      </c>
      <c r="P128" s="2">
        <v>0</v>
      </c>
      <c r="Q128" s="2">
        <v>-10</v>
      </c>
      <c r="R128" s="2">
        <v>-30</v>
      </c>
      <c r="S128" s="2">
        <v>-50</v>
      </c>
      <c r="T128" s="2">
        <v>-140</v>
      </c>
      <c r="U128" s="2">
        <v>-270</v>
      </c>
      <c r="V128" s="2">
        <v>-410</v>
      </c>
      <c r="W128" s="2">
        <f t="shared" si="5"/>
        <v>140</v>
      </c>
      <c r="X128" s="6">
        <f t="shared" si="6"/>
        <v>34.146341463414636</v>
      </c>
      <c r="Y128" s="6">
        <f t="shared" si="7"/>
        <v>65.853658536585371</v>
      </c>
    </row>
    <row r="129" spans="1:25" x14ac:dyDescent="0.25">
      <c r="A129" s="1">
        <v>44522</v>
      </c>
      <c r="B129" t="s">
        <v>91</v>
      </c>
      <c r="D129" t="s">
        <v>37</v>
      </c>
      <c r="E129" t="s">
        <v>41</v>
      </c>
      <c r="F129" t="s">
        <v>42</v>
      </c>
      <c r="G129" t="s">
        <v>30</v>
      </c>
      <c r="H129" t="s">
        <v>43</v>
      </c>
      <c r="I129" s="2">
        <v>380</v>
      </c>
      <c r="J129" s="6">
        <f t="shared" si="4"/>
        <v>193.8</v>
      </c>
      <c r="K129" s="5">
        <v>0.51</v>
      </c>
      <c r="L129" s="3">
        <v>12.5</v>
      </c>
      <c r="M129" s="3">
        <v>0</v>
      </c>
      <c r="N129" s="3">
        <v>0</v>
      </c>
      <c r="O129" s="3">
        <v>0.6</v>
      </c>
      <c r="P129" s="2">
        <v>0</v>
      </c>
      <c r="Q129" s="2">
        <v>70</v>
      </c>
      <c r="R129" s="2">
        <v>80</v>
      </c>
      <c r="S129" s="2">
        <v>110</v>
      </c>
      <c r="T129" s="2">
        <v>-40</v>
      </c>
      <c r="U129" s="2">
        <v>-170</v>
      </c>
      <c r="V129" s="2">
        <v>-280</v>
      </c>
      <c r="W129" s="2">
        <f t="shared" si="5"/>
        <v>110</v>
      </c>
      <c r="X129" s="6">
        <f t="shared" si="6"/>
        <v>14.285714285714286</v>
      </c>
      <c r="Y129" s="6">
        <f t="shared" si="7"/>
        <v>60.714285714285715</v>
      </c>
    </row>
    <row r="130" spans="1:25" x14ac:dyDescent="0.25">
      <c r="A130" s="1">
        <v>44503</v>
      </c>
      <c r="B130" t="s">
        <v>153</v>
      </c>
      <c r="D130" t="s">
        <v>37</v>
      </c>
      <c r="E130" t="s">
        <v>88</v>
      </c>
      <c r="F130" t="s">
        <v>29</v>
      </c>
      <c r="G130" t="s">
        <v>30</v>
      </c>
      <c r="H130" t="s">
        <v>35</v>
      </c>
      <c r="I130" s="2">
        <v>344</v>
      </c>
      <c r="J130" s="6">
        <f t="shared" ref="J130:J193" si="8">K130*I130</f>
        <v>185.76000000000002</v>
      </c>
      <c r="K130" s="5">
        <v>0.54</v>
      </c>
      <c r="L130" s="3">
        <v>0</v>
      </c>
      <c r="M130" s="3">
        <v>0</v>
      </c>
      <c r="N130" s="3">
        <v>2.2360000000000002</v>
      </c>
      <c r="O130" s="3">
        <v>0</v>
      </c>
      <c r="P130" s="2">
        <v>0</v>
      </c>
      <c r="Q130" s="2">
        <v>-50</v>
      </c>
      <c r="R130" s="2">
        <v>-90</v>
      </c>
      <c r="S130" s="2">
        <v>-140</v>
      </c>
      <c r="T130" s="2">
        <v>-200</v>
      </c>
      <c r="U130" s="2">
        <v>-310</v>
      </c>
      <c r="V130" s="2">
        <v>-410</v>
      </c>
      <c r="W130" s="2">
        <f t="shared" si="5"/>
        <v>100</v>
      </c>
      <c r="X130" s="6">
        <f t="shared" si="6"/>
        <v>48.780487804878049</v>
      </c>
      <c r="Y130" s="6">
        <f t="shared" si="7"/>
        <v>75.609756097560975</v>
      </c>
    </row>
    <row r="131" spans="1:25" x14ac:dyDescent="0.25">
      <c r="A131" s="1">
        <v>44564</v>
      </c>
      <c r="B131" t="s">
        <v>119</v>
      </c>
      <c r="C131" t="s">
        <v>26</v>
      </c>
      <c r="D131" t="s">
        <v>37</v>
      </c>
      <c r="E131" t="s">
        <v>120</v>
      </c>
      <c r="F131" t="s">
        <v>29</v>
      </c>
      <c r="G131" t="s">
        <v>30</v>
      </c>
      <c r="H131" t="s">
        <v>56</v>
      </c>
      <c r="I131" s="2">
        <v>341</v>
      </c>
      <c r="J131" s="6">
        <f t="shared" si="8"/>
        <v>184.14000000000001</v>
      </c>
      <c r="K131" s="5">
        <v>0.54</v>
      </c>
      <c r="L131" s="3">
        <v>15</v>
      </c>
      <c r="M131" s="3">
        <v>25</v>
      </c>
      <c r="N131" s="3">
        <v>0</v>
      </c>
      <c r="O131" s="3">
        <v>0.6</v>
      </c>
      <c r="P131" s="2">
        <v>0</v>
      </c>
      <c r="Q131" s="2">
        <v>50</v>
      </c>
      <c r="R131" s="2">
        <v>100</v>
      </c>
      <c r="S131" s="2">
        <v>140</v>
      </c>
      <c r="T131" s="2">
        <v>-10</v>
      </c>
      <c r="U131" s="2">
        <v>-70</v>
      </c>
      <c r="V131" s="2">
        <v>-280</v>
      </c>
      <c r="W131" s="2">
        <f t="shared" ref="W131:W194" si="9">U131-V131</f>
        <v>210</v>
      </c>
      <c r="X131" s="6">
        <f t="shared" ref="X131:X194" si="10">100*T131/V131</f>
        <v>3.5714285714285716</v>
      </c>
      <c r="Y131" s="6">
        <f t="shared" ref="Y131:Y194" si="11">100*U131/V131</f>
        <v>25</v>
      </c>
    </row>
    <row r="132" spans="1:25" x14ac:dyDescent="0.25">
      <c r="A132" s="1">
        <v>44564</v>
      </c>
      <c r="B132" t="s">
        <v>119</v>
      </c>
      <c r="C132" t="s">
        <v>26</v>
      </c>
      <c r="D132" t="s">
        <v>37</v>
      </c>
      <c r="E132" t="s">
        <v>120</v>
      </c>
      <c r="F132" t="s">
        <v>29</v>
      </c>
      <c r="G132" t="s">
        <v>30</v>
      </c>
      <c r="H132" t="s">
        <v>56</v>
      </c>
      <c r="I132" s="2">
        <v>341</v>
      </c>
      <c r="J132" s="6">
        <f t="shared" si="8"/>
        <v>184.14000000000001</v>
      </c>
      <c r="K132" s="5">
        <v>0.54</v>
      </c>
      <c r="L132" s="3">
        <v>0</v>
      </c>
      <c r="M132" s="3">
        <v>25</v>
      </c>
      <c r="N132" s="3">
        <v>0</v>
      </c>
      <c r="O132" s="3">
        <v>0.6</v>
      </c>
      <c r="P132" s="2">
        <v>0</v>
      </c>
      <c r="Q132" s="2">
        <v>-60</v>
      </c>
      <c r="R132" s="2">
        <v>-90</v>
      </c>
      <c r="S132" s="2">
        <v>-150</v>
      </c>
      <c r="T132" s="2">
        <v>-190</v>
      </c>
      <c r="U132" s="2">
        <v>-260</v>
      </c>
      <c r="V132" s="2">
        <v>-410</v>
      </c>
      <c r="W132" s="2">
        <f t="shared" si="9"/>
        <v>150</v>
      </c>
      <c r="X132" s="6">
        <f t="shared" si="10"/>
        <v>46.341463414634148</v>
      </c>
      <c r="Y132" s="6">
        <f t="shared" si="11"/>
        <v>63.414634146341463</v>
      </c>
    </row>
    <row r="133" spans="1:25" x14ac:dyDescent="0.25">
      <c r="A133" s="1">
        <v>44571</v>
      </c>
      <c r="B133" t="s">
        <v>97</v>
      </c>
      <c r="D133" t="s">
        <v>37</v>
      </c>
      <c r="E133" t="s">
        <v>88</v>
      </c>
      <c r="F133" t="s">
        <v>29</v>
      </c>
      <c r="G133" t="s">
        <v>30</v>
      </c>
      <c r="H133" t="s">
        <v>35</v>
      </c>
      <c r="I133" s="2">
        <v>336</v>
      </c>
      <c r="J133" s="6">
        <f t="shared" si="8"/>
        <v>184.8</v>
      </c>
      <c r="K133" s="5">
        <v>0.55000000000000004</v>
      </c>
      <c r="L133" s="3">
        <v>10</v>
      </c>
      <c r="M133" s="3">
        <v>25</v>
      </c>
      <c r="N133" s="3">
        <v>0</v>
      </c>
      <c r="O133" s="3">
        <v>0.6</v>
      </c>
      <c r="P133" s="2">
        <v>0</v>
      </c>
      <c r="Q133" s="2">
        <v>50</v>
      </c>
      <c r="R133" s="2">
        <v>100</v>
      </c>
      <c r="S133" s="2">
        <v>130</v>
      </c>
      <c r="T133" s="2">
        <v>-50</v>
      </c>
      <c r="U133" s="2">
        <v>-160</v>
      </c>
      <c r="V133" s="2">
        <v>-280</v>
      </c>
      <c r="W133" s="2">
        <f t="shared" si="9"/>
        <v>120</v>
      </c>
      <c r="X133" s="6">
        <f t="shared" si="10"/>
        <v>17.857142857142858</v>
      </c>
      <c r="Y133" s="6">
        <f t="shared" si="11"/>
        <v>57.142857142857146</v>
      </c>
    </row>
    <row r="134" spans="1:25" x14ac:dyDescent="0.25">
      <c r="A134" s="1">
        <v>44571</v>
      </c>
      <c r="B134" t="s">
        <v>97</v>
      </c>
      <c r="D134" t="s">
        <v>37</v>
      </c>
      <c r="E134" t="s">
        <v>88</v>
      </c>
      <c r="F134" t="s">
        <v>29</v>
      </c>
      <c r="G134" t="s">
        <v>30</v>
      </c>
      <c r="H134" t="s">
        <v>35</v>
      </c>
      <c r="I134" s="2">
        <v>336</v>
      </c>
      <c r="J134" s="6">
        <f t="shared" si="8"/>
        <v>184.8</v>
      </c>
      <c r="K134" s="5">
        <v>0.55000000000000004</v>
      </c>
      <c r="L134" s="3">
        <v>0</v>
      </c>
      <c r="M134" s="3">
        <v>25</v>
      </c>
      <c r="N134" s="3">
        <v>4</v>
      </c>
      <c r="O134" s="3">
        <v>0.6</v>
      </c>
      <c r="P134" s="2">
        <v>0</v>
      </c>
      <c r="Q134" s="2">
        <v>-80</v>
      </c>
      <c r="R134" s="2">
        <v>-130</v>
      </c>
      <c r="S134" s="2">
        <v>-180</v>
      </c>
      <c r="T134" s="2">
        <v>-220</v>
      </c>
      <c r="U134" s="2">
        <v>-290</v>
      </c>
      <c r="V134" s="2">
        <v>-410</v>
      </c>
      <c r="W134" s="2">
        <f t="shared" si="9"/>
        <v>120</v>
      </c>
      <c r="X134" s="6">
        <f t="shared" si="10"/>
        <v>53.658536585365852</v>
      </c>
      <c r="Y134" s="6">
        <f t="shared" si="11"/>
        <v>70.731707317073173</v>
      </c>
    </row>
    <row r="135" spans="1:25" x14ac:dyDescent="0.25">
      <c r="A135" s="1">
        <v>44596</v>
      </c>
      <c r="B135" t="s">
        <v>94</v>
      </c>
      <c r="C135" t="s">
        <v>26</v>
      </c>
      <c r="D135" t="s">
        <v>37</v>
      </c>
      <c r="F135" t="s">
        <v>95</v>
      </c>
      <c r="G135" t="s">
        <v>90</v>
      </c>
      <c r="H135" t="s">
        <v>31</v>
      </c>
      <c r="I135" s="2">
        <v>350</v>
      </c>
      <c r="J135" s="6">
        <f t="shared" si="8"/>
        <v>189</v>
      </c>
      <c r="K135" s="5">
        <v>0.54</v>
      </c>
      <c r="L135" s="3">
        <v>15</v>
      </c>
      <c r="M135" s="3">
        <v>25</v>
      </c>
      <c r="N135" s="3">
        <v>0</v>
      </c>
      <c r="O135" s="3">
        <v>0.6</v>
      </c>
      <c r="P135" s="2">
        <v>0</v>
      </c>
      <c r="Q135" s="2">
        <v>100</v>
      </c>
      <c r="R135" s="2">
        <v>90</v>
      </c>
      <c r="S135" s="2">
        <v>70</v>
      </c>
      <c r="T135" s="2">
        <v>-90</v>
      </c>
      <c r="U135" s="2">
        <v>-250</v>
      </c>
      <c r="V135" s="2">
        <v>-280</v>
      </c>
      <c r="W135" s="2">
        <f t="shared" si="9"/>
        <v>30</v>
      </c>
      <c r="X135" s="6">
        <f t="shared" si="10"/>
        <v>32.142857142857146</v>
      </c>
      <c r="Y135" s="6">
        <f t="shared" si="11"/>
        <v>89.285714285714292</v>
      </c>
    </row>
    <row r="136" spans="1:25" x14ac:dyDescent="0.25">
      <c r="A136" s="1">
        <v>44581</v>
      </c>
      <c r="B136" t="s">
        <v>154</v>
      </c>
      <c r="C136" t="s">
        <v>26</v>
      </c>
      <c r="D136" t="s">
        <v>37</v>
      </c>
      <c r="E136" t="s">
        <v>52</v>
      </c>
      <c r="F136" t="s">
        <v>29</v>
      </c>
      <c r="G136" t="s">
        <v>30</v>
      </c>
      <c r="H136" t="s">
        <v>31</v>
      </c>
      <c r="I136" s="2">
        <v>370</v>
      </c>
      <c r="J136" s="6">
        <f t="shared" si="8"/>
        <v>188.70000000000002</v>
      </c>
      <c r="K136" s="5">
        <v>0.51</v>
      </c>
      <c r="L136" s="3">
        <v>0</v>
      </c>
      <c r="M136" s="3">
        <v>0</v>
      </c>
      <c r="N136" s="3">
        <v>6</v>
      </c>
      <c r="O136" s="3">
        <v>0.6</v>
      </c>
      <c r="P136" s="2">
        <v>0</v>
      </c>
      <c r="Q136" s="2">
        <v>-60</v>
      </c>
      <c r="R136" s="2">
        <v>-110</v>
      </c>
      <c r="S136" s="2">
        <v>-160</v>
      </c>
      <c r="T136" s="2">
        <v>-200</v>
      </c>
      <c r="U136" s="2">
        <v>-290</v>
      </c>
      <c r="V136" s="2">
        <v>-410</v>
      </c>
      <c r="W136" s="2">
        <f t="shared" si="9"/>
        <v>120</v>
      </c>
      <c r="X136" s="6">
        <f t="shared" si="10"/>
        <v>48.780487804878049</v>
      </c>
      <c r="Y136" s="6">
        <f t="shared" si="11"/>
        <v>70.731707317073173</v>
      </c>
    </row>
    <row r="137" spans="1:25" x14ac:dyDescent="0.25">
      <c r="A137" s="1">
        <v>44597</v>
      </c>
      <c r="B137" t="s">
        <v>102</v>
      </c>
      <c r="D137" t="s">
        <v>37</v>
      </c>
      <c r="F137" t="s">
        <v>103</v>
      </c>
      <c r="G137" t="s">
        <v>55</v>
      </c>
      <c r="H137" t="s">
        <v>31</v>
      </c>
      <c r="I137" s="2">
        <v>336</v>
      </c>
      <c r="J137" s="6">
        <f t="shared" si="8"/>
        <v>184.8</v>
      </c>
      <c r="K137" s="5">
        <v>0.55000000000000004</v>
      </c>
      <c r="L137" s="3">
        <v>12.5</v>
      </c>
      <c r="M137" s="3">
        <v>0</v>
      </c>
      <c r="N137" s="3">
        <v>0</v>
      </c>
      <c r="O137" s="3">
        <v>0</v>
      </c>
      <c r="P137" s="2">
        <v>0</v>
      </c>
      <c r="Q137" s="2">
        <v>140</v>
      </c>
      <c r="R137" s="2">
        <v>150</v>
      </c>
      <c r="S137" s="2">
        <v>150</v>
      </c>
      <c r="T137" s="2">
        <v>60</v>
      </c>
      <c r="U137" s="2">
        <v>-170</v>
      </c>
      <c r="V137" s="2">
        <v>-280</v>
      </c>
      <c r="W137" s="2">
        <f t="shared" si="9"/>
        <v>110</v>
      </c>
      <c r="X137" s="6">
        <f t="shared" si="10"/>
        <v>-21.428571428571427</v>
      </c>
      <c r="Y137" s="6">
        <f t="shared" si="11"/>
        <v>60.714285714285715</v>
      </c>
    </row>
    <row r="138" spans="1:25" x14ac:dyDescent="0.25">
      <c r="A138" s="1">
        <v>44720</v>
      </c>
      <c r="B138" t="s">
        <v>53</v>
      </c>
      <c r="D138" t="s">
        <v>37</v>
      </c>
      <c r="F138" t="s">
        <v>54</v>
      </c>
      <c r="G138" t="s">
        <v>55</v>
      </c>
      <c r="H138" t="s">
        <v>56</v>
      </c>
      <c r="I138" s="2">
        <v>340</v>
      </c>
      <c r="J138" s="6">
        <f t="shared" si="8"/>
        <v>180.20000000000002</v>
      </c>
      <c r="K138" s="5">
        <v>0.53</v>
      </c>
      <c r="L138" s="3">
        <v>0</v>
      </c>
      <c r="M138" s="3">
        <v>0</v>
      </c>
      <c r="N138" s="3">
        <v>5.5</v>
      </c>
      <c r="O138" s="3">
        <v>0.6</v>
      </c>
      <c r="P138" s="2">
        <v>0</v>
      </c>
      <c r="Q138" s="2">
        <v>-60</v>
      </c>
      <c r="R138" s="2">
        <v>-120</v>
      </c>
      <c r="S138" s="2">
        <v>-150</v>
      </c>
      <c r="T138" s="2">
        <v>-200</v>
      </c>
      <c r="U138" s="2">
        <v>-260</v>
      </c>
      <c r="V138" s="2">
        <v>-410</v>
      </c>
      <c r="W138" s="2">
        <f t="shared" si="9"/>
        <v>150</v>
      </c>
      <c r="X138" s="6">
        <f t="shared" si="10"/>
        <v>48.780487804878049</v>
      </c>
      <c r="Y138" s="6">
        <f t="shared" si="11"/>
        <v>63.414634146341463</v>
      </c>
    </row>
    <row r="139" spans="1:25" x14ac:dyDescent="0.25">
      <c r="A139" s="1">
        <v>44603</v>
      </c>
      <c r="B139" t="s">
        <v>155</v>
      </c>
      <c r="D139" t="s">
        <v>37</v>
      </c>
      <c r="F139" t="s">
        <v>156</v>
      </c>
      <c r="G139" t="s">
        <v>30</v>
      </c>
      <c r="H139" t="s">
        <v>43</v>
      </c>
      <c r="I139" s="2">
        <v>373</v>
      </c>
      <c r="J139" s="6">
        <f t="shared" si="8"/>
        <v>190.23</v>
      </c>
      <c r="K139" s="5">
        <v>0.51</v>
      </c>
      <c r="L139" s="3">
        <v>10</v>
      </c>
      <c r="M139" s="3">
        <v>0</v>
      </c>
      <c r="N139" s="3">
        <v>0</v>
      </c>
      <c r="O139" s="3">
        <v>0</v>
      </c>
      <c r="P139" s="2">
        <v>0</v>
      </c>
      <c r="Q139" s="2">
        <v>20</v>
      </c>
      <c r="R139" s="2">
        <v>60</v>
      </c>
      <c r="S139" s="2">
        <v>80</v>
      </c>
      <c r="T139" s="2">
        <v>-60</v>
      </c>
      <c r="U139" s="2">
        <v>-150</v>
      </c>
      <c r="V139" s="2">
        <v>-280</v>
      </c>
      <c r="W139" s="2">
        <f t="shared" si="9"/>
        <v>130</v>
      </c>
      <c r="X139" s="6">
        <f t="shared" si="10"/>
        <v>21.428571428571427</v>
      </c>
      <c r="Y139" s="6">
        <f t="shared" si="11"/>
        <v>53.571428571428569</v>
      </c>
    </row>
    <row r="140" spans="1:25" x14ac:dyDescent="0.25">
      <c r="A140" s="1">
        <v>44721</v>
      </c>
      <c r="B140" t="s">
        <v>92</v>
      </c>
      <c r="D140" t="s">
        <v>37</v>
      </c>
      <c r="E140" t="s">
        <v>88</v>
      </c>
      <c r="F140" t="s">
        <v>29</v>
      </c>
      <c r="G140" t="s">
        <v>30</v>
      </c>
      <c r="H140" t="s">
        <v>35</v>
      </c>
      <c r="I140" s="2">
        <v>336</v>
      </c>
      <c r="J140" s="6">
        <f t="shared" si="8"/>
        <v>184.8</v>
      </c>
      <c r="K140" s="5">
        <v>0.55000000000000004</v>
      </c>
      <c r="L140" s="3">
        <v>0</v>
      </c>
      <c r="M140" s="3">
        <v>0</v>
      </c>
      <c r="N140" s="3">
        <v>5.5</v>
      </c>
      <c r="O140" s="3">
        <v>0.6</v>
      </c>
      <c r="P140" s="2">
        <v>0</v>
      </c>
      <c r="Q140" s="2">
        <v>-50</v>
      </c>
      <c r="R140" s="2">
        <v>-90</v>
      </c>
      <c r="S140" s="2">
        <v>-160</v>
      </c>
      <c r="T140" s="2">
        <v>-200</v>
      </c>
      <c r="U140" s="2">
        <v>-260</v>
      </c>
      <c r="V140" s="2">
        <v>-410</v>
      </c>
      <c r="W140" s="2">
        <f t="shared" si="9"/>
        <v>150</v>
      </c>
      <c r="X140" s="6">
        <f t="shared" si="10"/>
        <v>48.780487804878049</v>
      </c>
      <c r="Y140" s="6">
        <f t="shared" si="11"/>
        <v>63.414634146341463</v>
      </c>
    </row>
    <row r="141" spans="1:25" x14ac:dyDescent="0.25">
      <c r="A141" s="1">
        <v>44714</v>
      </c>
      <c r="B141" t="s">
        <v>127</v>
      </c>
      <c r="D141" t="s">
        <v>37</v>
      </c>
      <c r="E141" t="s">
        <v>128</v>
      </c>
      <c r="F141" t="s">
        <v>29</v>
      </c>
      <c r="G141" t="s">
        <v>30</v>
      </c>
      <c r="H141" t="s">
        <v>35</v>
      </c>
      <c r="I141" s="2">
        <v>336</v>
      </c>
      <c r="J141" s="6">
        <f t="shared" si="8"/>
        <v>184.8</v>
      </c>
      <c r="K141" s="5">
        <v>0.55000000000000004</v>
      </c>
      <c r="L141" s="3">
        <v>15</v>
      </c>
      <c r="M141" s="3">
        <v>0</v>
      </c>
      <c r="N141" s="3">
        <v>0</v>
      </c>
      <c r="O141" s="3">
        <v>0.6</v>
      </c>
      <c r="P141" s="2">
        <v>0</v>
      </c>
      <c r="Q141" s="2">
        <v>40</v>
      </c>
      <c r="R141" s="2">
        <v>100</v>
      </c>
      <c r="S141" s="2">
        <v>140</v>
      </c>
      <c r="T141" s="2">
        <v>-10</v>
      </c>
      <c r="U141" s="2">
        <v>-80</v>
      </c>
      <c r="V141" s="2">
        <v>-280</v>
      </c>
      <c r="W141" s="2">
        <f t="shared" si="9"/>
        <v>200</v>
      </c>
      <c r="X141" s="6">
        <f t="shared" si="10"/>
        <v>3.5714285714285716</v>
      </c>
      <c r="Y141" s="6">
        <f t="shared" si="11"/>
        <v>28.571428571428573</v>
      </c>
    </row>
    <row r="142" spans="1:25" x14ac:dyDescent="0.25">
      <c r="A142" s="1">
        <v>44721</v>
      </c>
      <c r="B142" t="s">
        <v>136</v>
      </c>
      <c r="D142" t="s">
        <v>37</v>
      </c>
      <c r="F142" t="s">
        <v>29</v>
      </c>
      <c r="G142" t="s">
        <v>30</v>
      </c>
      <c r="H142" t="s">
        <v>35</v>
      </c>
      <c r="I142" s="2">
        <v>336</v>
      </c>
      <c r="J142" s="6">
        <f t="shared" si="8"/>
        <v>184.8</v>
      </c>
      <c r="K142" s="5">
        <v>0.55000000000000004</v>
      </c>
      <c r="L142" s="3">
        <v>0</v>
      </c>
      <c r="M142" s="3">
        <v>0</v>
      </c>
      <c r="N142" s="3">
        <v>5.5</v>
      </c>
      <c r="O142" s="3">
        <v>0.6</v>
      </c>
      <c r="P142" s="2">
        <v>0</v>
      </c>
      <c r="Q142" s="2">
        <v>-50</v>
      </c>
      <c r="R142" s="2">
        <v>-90</v>
      </c>
      <c r="S142" s="2">
        <v>-160</v>
      </c>
      <c r="T142" s="2">
        <v>-200</v>
      </c>
      <c r="U142" s="2">
        <v>-260</v>
      </c>
      <c r="V142" s="2">
        <v>-410</v>
      </c>
      <c r="W142" s="2">
        <f t="shared" si="9"/>
        <v>150</v>
      </c>
      <c r="X142" s="6">
        <f t="shared" si="10"/>
        <v>48.780487804878049</v>
      </c>
      <c r="Y142" s="6">
        <f t="shared" si="11"/>
        <v>63.414634146341463</v>
      </c>
    </row>
    <row r="143" spans="1:25" x14ac:dyDescent="0.25">
      <c r="A143" s="1">
        <v>45132</v>
      </c>
      <c r="B143" t="s">
        <v>112</v>
      </c>
      <c r="C143" t="s">
        <v>26</v>
      </c>
      <c r="D143" t="s">
        <v>37</v>
      </c>
      <c r="E143" t="s">
        <v>113</v>
      </c>
      <c r="F143" t="s">
        <v>101</v>
      </c>
      <c r="G143" t="s">
        <v>68</v>
      </c>
      <c r="H143" t="s">
        <v>31</v>
      </c>
      <c r="I143" s="2">
        <v>380</v>
      </c>
      <c r="J143" s="6">
        <f t="shared" si="8"/>
        <v>190</v>
      </c>
      <c r="K143" s="5">
        <v>0.5</v>
      </c>
      <c r="L143" s="3">
        <v>12</v>
      </c>
      <c r="M143" s="3">
        <v>0</v>
      </c>
      <c r="N143" s="3">
        <v>5</v>
      </c>
      <c r="O143" s="3">
        <v>0.6</v>
      </c>
      <c r="P143" s="2">
        <v>0</v>
      </c>
      <c r="Q143" s="2">
        <v>40</v>
      </c>
      <c r="R143" s="2">
        <v>70</v>
      </c>
      <c r="S143" s="2">
        <v>110</v>
      </c>
      <c r="T143" s="2">
        <v>-20</v>
      </c>
      <c r="U143" s="2">
        <v>-120</v>
      </c>
      <c r="V143" s="2">
        <v>-280</v>
      </c>
      <c r="W143" s="2">
        <f t="shared" si="9"/>
        <v>160</v>
      </c>
      <c r="X143" s="6">
        <f t="shared" si="10"/>
        <v>7.1428571428571432</v>
      </c>
      <c r="Y143" s="6">
        <f t="shared" si="11"/>
        <v>42.857142857142854</v>
      </c>
    </row>
    <row r="144" spans="1:25" x14ac:dyDescent="0.25">
      <c r="A144" s="1">
        <v>44734</v>
      </c>
      <c r="B144" t="s">
        <v>137</v>
      </c>
      <c r="D144" t="s">
        <v>37</v>
      </c>
      <c r="E144" t="s">
        <v>138</v>
      </c>
      <c r="F144" t="s">
        <v>29</v>
      </c>
      <c r="G144" t="s">
        <v>30</v>
      </c>
      <c r="H144" t="s">
        <v>35</v>
      </c>
      <c r="I144" s="2">
        <v>356</v>
      </c>
      <c r="J144" s="6">
        <f t="shared" si="8"/>
        <v>185.12</v>
      </c>
      <c r="K144" s="5">
        <v>0.52</v>
      </c>
      <c r="L144" s="3">
        <v>0</v>
      </c>
      <c r="M144" s="3">
        <v>0</v>
      </c>
      <c r="N144" s="3">
        <v>0</v>
      </c>
      <c r="O144" s="3">
        <v>0.6</v>
      </c>
      <c r="P144" s="2">
        <v>0</v>
      </c>
      <c r="Q144" s="2">
        <v>-40</v>
      </c>
      <c r="R144" s="2">
        <v>-90</v>
      </c>
      <c r="S144" s="2">
        <v>-140</v>
      </c>
      <c r="T144" s="2">
        <v>-210</v>
      </c>
      <c r="U144" s="2">
        <v>-290</v>
      </c>
      <c r="V144" s="2">
        <v>-410</v>
      </c>
      <c r="W144" s="2">
        <f t="shared" si="9"/>
        <v>120</v>
      </c>
      <c r="X144" s="6">
        <f t="shared" si="10"/>
        <v>51.219512195121951</v>
      </c>
      <c r="Y144" s="6">
        <f t="shared" si="11"/>
        <v>70.731707317073173</v>
      </c>
    </row>
    <row r="145" spans="1:25" x14ac:dyDescent="0.25">
      <c r="A145" s="1">
        <v>45154</v>
      </c>
      <c r="B145" t="s">
        <v>157</v>
      </c>
      <c r="F145" t="s">
        <v>29</v>
      </c>
      <c r="G145" t="s">
        <v>30</v>
      </c>
      <c r="H145" t="s">
        <v>35</v>
      </c>
      <c r="I145" s="2">
        <v>336</v>
      </c>
      <c r="J145" s="6">
        <f t="shared" si="8"/>
        <v>184.8</v>
      </c>
      <c r="K145" s="5">
        <v>0.55000000000000004</v>
      </c>
      <c r="L145" s="3">
        <v>15</v>
      </c>
      <c r="M145" s="3">
        <v>0</v>
      </c>
      <c r="N145" s="3">
        <v>0</v>
      </c>
      <c r="O145" s="3">
        <v>0.6</v>
      </c>
      <c r="P145" s="2">
        <v>0</v>
      </c>
      <c r="Q145" s="2">
        <v>50</v>
      </c>
      <c r="R145" s="2">
        <v>90</v>
      </c>
      <c r="S145" s="2">
        <v>140</v>
      </c>
      <c r="T145" s="2">
        <v>0</v>
      </c>
      <c r="U145" s="2">
        <v>-120</v>
      </c>
      <c r="V145" s="4">
        <v>-280</v>
      </c>
      <c r="W145" s="2">
        <f t="shared" si="9"/>
        <v>160</v>
      </c>
      <c r="X145" s="6">
        <f t="shared" si="10"/>
        <v>0</v>
      </c>
      <c r="Y145" s="6">
        <f t="shared" si="11"/>
        <v>42.857142857142854</v>
      </c>
    </row>
    <row r="146" spans="1:25" x14ac:dyDescent="0.25">
      <c r="A146" s="1">
        <v>44763</v>
      </c>
      <c r="B146" t="s">
        <v>110</v>
      </c>
      <c r="D146" t="s">
        <v>37</v>
      </c>
      <c r="F146" t="s">
        <v>111</v>
      </c>
      <c r="G146" t="s">
        <v>55</v>
      </c>
      <c r="H146" t="s">
        <v>43</v>
      </c>
      <c r="I146" s="2">
        <v>380</v>
      </c>
      <c r="J146" s="6">
        <f t="shared" si="8"/>
        <v>186.2</v>
      </c>
      <c r="K146" s="5">
        <v>0.49</v>
      </c>
      <c r="L146" s="3">
        <v>0</v>
      </c>
      <c r="M146" s="3">
        <v>0</v>
      </c>
      <c r="N146" s="3">
        <v>5.5</v>
      </c>
      <c r="O146" s="3">
        <v>0.6</v>
      </c>
      <c r="P146" s="2">
        <v>0</v>
      </c>
      <c r="Q146" s="2">
        <v>-40</v>
      </c>
      <c r="R146" s="2">
        <v>-90</v>
      </c>
      <c r="S146" s="2">
        <v>-140</v>
      </c>
      <c r="T146" s="2">
        <v>-210</v>
      </c>
      <c r="U146" s="2">
        <v>-300</v>
      </c>
      <c r="V146" s="2">
        <v>-410</v>
      </c>
      <c r="W146" s="2">
        <f t="shared" si="9"/>
        <v>110</v>
      </c>
      <c r="X146" s="6">
        <f t="shared" si="10"/>
        <v>51.219512195121951</v>
      </c>
      <c r="Y146" s="6">
        <f t="shared" si="11"/>
        <v>73.170731707317074</v>
      </c>
    </row>
    <row r="147" spans="1:25" x14ac:dyDescent="0.25">
      <c r="A147" s="1">
        <v>44452</v>
      </c>
      <c r="B147" t="s">
        <v>80</v>
      </c>
      <c r="D147" t="s">
        <v>37</v>
      </c>
      <c r="E147" t="s">
        <v>81</v>
      </c>
      <c r="F147" t="s">
        <v>82</v>
      </c>
      <c r="G147" t="s">
        <v>83</v>
      </c>
      <c r="H147" t="s">
        <v>84</v>
      </c>
      <c r="I147" s="2">
        <v>360</v>
      </c>
      <c r="J147" s="6">
        <f t="shared" si="8"/>
        <v>190.08</v>
      </c>
      <c r="K147" s="5">
        <v>0.52800000000000002</v>
      </c>
      <c r="L147" s="3">
        <v>15</v>
      </c>
      <c r="M147" s="3">
        <v>0</v>
      </c>
      <c r="N147" s="3">
        <v>0</v>
      </c>
      <c r="O147" s="3">
        <v>0.6</v>
      </c>
      <c r="P147" s="2">
        <v>0</v>
      </c>
      <c r="Q147" s="2">
        <v>120</v>
      </c>
      <c r="R147" s="2">
        <v>160</v>
      </c>
      <c r="S147" s="2">
        <v>200</v>
      </c>
      <c r="T147" s="2">
        <v>-30</v>
      </c>
      <c r="U147" s="2">
        <v>-150</v>
      </c>
      <c r="V147" s="2">
        <v>-270</v>
      </c>
      <c r="W147" s="2">
        <f t="shared" si="9"/>
        <v>120</v>
      </c>
      <c r="X147" s="6">
        <f t="shared" si="10"/>
        <v>11.111111111111111</v>
      </c>
      <c r="Y147" s="6">
        <f t="shared" si="11"/>
        <v>55.555555555555557</v>
      </c>
    </row>
    <row r="148" spans="1:25" x14ac:dyDescent="0.25">
      <c r="A148" s="1">
        <v>44770</v>
      </c>
      <c r="B148" t="s">
        <v>158</v>
      </c>
      <c r="D148" t="s">
        <v>37</v>
      </c>
      <c r="F148" t="s">
        <v>89</v>
      </c>
      <c r="G148" t="s">
        <v>90</v>
      </c>
      <c r="H148" t="s">
        <v>56</v>
      </c>
      <c r="I148" s="2">
        <v>336</v>
      </c>
      <c r="J148" s="6">
        <f t="shared" si="8"/>
        <v>184.8</v>
      </c>
      <c r="K148" s="5">
        <v>0.55000000000000004</v>
      </c>
      <c r="L148" s="3">
        <v>0</v>
      </c>
      <c r="M148" s="3">
        <v>0</v>
      </c>
      <c r="N148" s="3">
        <v>5.5</v>
      </c>
      <c r="O148" s="3">
        <v>0</v>
      </c>
      <c r="P148" s="2">
        <v>0</v>
      </c>
      <c r="Q148" s="2">
        <v>-30</v>
      </c>
      <c r="R148" s="2">
        <v>-70</v>
      </c>
      <c r="S148" s="2">
        <v>-110</v>
      </c>
      <c r="T148" s="2">
        <v>-180</v>
      </c>
      <c r="U148" s="2">
        <v>-270</v>
      </c>
      <c r="V148" s="2">
        <v>-410</v>
      </c>
      <c r="W148" s="2">
        <f t="shared" si="9"/>
        <v>140</v>
      </c>
      <c r="X148" s="6">
        <f t="shared" si="10"/>
        <v>43.902439024390247</v>
      </c>
      <c r="Y148" s="6">
        <f t="shared" si="11"/>
        <v>65.853658536585371</v>
      </c>
    </row>
    <row r="149" spans="1:25" x14ac:dyDescent="0.25">
      <c r="A149" s="1">
        <v>44585</v>
      </c>
      <c r="B149" t="s">
        <v>154</v>
      </c>
      <c r="C149" t="s">
        <v>26</v>
      </c>
      <c r="D149" t="s">
        <v>37</v>
      </c>
      <c r="E149" t="s">
        <v>52</v>
      </c>
      <c r="F149" t="s">
        <v>29</v>
      </c>
      <c r="G149" t="s">
        <v>30</v>
      </c>
      <c r="H149" t="s">
        <v>56</v>
      </c>
      <c r="I149" s="2">
        <v>340</v>
      </c>
      <c r="J149" s="6">
        <f t="shared" si="8"/>
        <v>183.60000000000002</v>
      </c>
      <c r="K149" s="5">
        <v>0.54</v>
      </c>
      <c r="L149" s="3">
        <v>12.5</v>
      </c>
      <c r="M149" s="3">
        <v>25</v>
      </c>
      <c r="N149" s="3">
        <v>0</v>
      </c>
      <c r="O149" s="3">
        <v>0.6</v>
      </c>
      <c r="P149" s="2">
        <v>0</v>
      </c>
      <c r="Q149" s="2">
        <v>60</v>
      </c>
      <c r="R149" s="2">
        <v>100</v>
      </c>
      <c r="S149" s="2">
        <v>150</v>
      </c>
      <c r="T149" s="2">
        <v>-30</v>
      </c>
      <c r="U149" s="2">
        <v>-150</v>
      </c>
      <c r="V149" s="2">
        <v>-270</v>
      </c>
      <c r="W149" s="2">
        <f t="shared" si="9"/>
        <v>120</v>
      </c>
      <c r="X149" s="6">
        <f t="shared" si="10"/>
        <v>11.111111111111111</v>
      </c>
      <c r="Y149" s="6">
        <f t="shared" si="11"/>
        <v>55.555555555555557</v>
      </c>
    </row>
    <row r="150" spans="1:25" x14ac:dyDescent="0.25">
      <c r="A150" s="1">
        <v>44791</v>
      </c>
      <c r="B150" t="s">
        <v>142</v>
      </c>
      <c r="D150" t="s">
        <v>37</v>
      </c>
      <c r="E150" t="s">
        <v>108</v>
      </c>
      <c r="F150" t="s">
        <v>79</v>
      </c>
      <c r="G150" t="s">
        <v>55</v>
      </c>
      <c r="H150" t="s">
        <v>35</v>
      </c>
      <c r="I150" s="2">
        <v>356</v>
      </c>
      <c r="J150" s="6">
        <f t="shared" si="8"/>
        <v>185.12</v>
      </c>
      <c r="K150" s="5">
        <v>0.52</v>
      </c>
      <c r="L150" s="3">
        <v>0</v>
      </c>
      <c r="M150" s="3">
        <v>0</v>
      </c>
      <c r="N150" s="3">
        <v>0</v>
      </c>
      <c r="O150" s="3">
        <v>0.6</v>
      </c>
      <c r="P150" s="2">
        <v>0</v>
      </c>
      <c r="Q150" s="2">
        <v>-40</v>
      </c>
      <c r="R150" s="2">
        <v>-90</v>
      </c>
      <c r="S150" s="2">
        <v>-140</v>
      </c>
      <c r="T150" s="2">
        <v>-210</v>
      </c>
      <c r="U150" s="2">
        <v>-290</v>
      </c>
      <c r="V150" s="2">
        <v>-410</v>
      </c>
      <c r="W150" s="2">
        <f t="shared" si="9"/>
        <v>120</v>
      </c>
      <c r="X150" s="6">
        <f t="shared" si="10"/>
        <v>51.219512195121951</v>
      </c>
      <c r="Y150" s="6">
        <f t="shared" si="11"/>
        <v>70.731707317073173</v>
      </c>
    </row>
    <row r="151" spans="1:25" x14ac:dyDescent="0.25">
      <c r="A151" s="1">
        <v>44713</v>
      </c>
      <c r="B151" t="s">
        <v>125</v>
      </c>
      <c r="D151" t="s">
        <v>37</v>
      </c>
      <c r="F151" t="s">
        <v>126</v>
      </c>
      <c r="G151" t="s">
        <v>30</v>
      </c>
      <c r="H151" t="s">
        <v>31</v>
      </c>
      <c r="I151" s="2">
        <v>350</v>
      </c>
      <c r="J151" s="6">
        <f t="shared" si="8"/>
        <v>185.5</v>
      </c>
      <c r="K151" s="5">
        <v>0.53</v>
      </c>
      <c r="L151" s="3">
        <v>15</v>
      </c>
      <c r="M151" s="3">
        <v>0</v>
      </c>
      <c r="N151" s="3">
        <v>0</v>
      </c>
      <c r="O151" s="3">
        <v>0.6</v>
      </c>
      <c r="P151" s="2">
        <v>0</v>
      </c>
      <c r="Q151" s="2">
        <v>60</v>
      </c>
      <c r="R151" s="2">
        <v>110</v>
      </c>
      <c r="S151" s="2">
        <v>150</v>
      </c>
      <c r="T151" s="2">
        <v>50</v>
      </c>
      <c r="U151" s="2">
        <v>-50</v>
      </c>
      <c r="V151" s="2">
        <v>-270</v>
      </c>
      <c r="W151" s="2">
        <f t="shared" si="9"/>
        <v>220</v>
      </c>
      <c r="X151" s="6">
        <f t="shared" si="10"/>
        <v>-18.518518518518519</v>
      </c>
      <c r="Y151" s="6">
        <f t="shared" si="11"/>
        <v>18.518518518518519</v>
      </c>
    </row>
    <row r="152" spans="1:25" x14ac:dyDescent="0.25">
      <c r="A152" s="1">
        <v>44915</v>
      </c>
      <c r="B152" t="s">
        <v>76</v>
      </c>
      <c r="C152" t="s">
        <v>26</v>
      </c>
      <c r="D152" t="s">
        <v>37</v>
      </c>
      <c r="F152" t="s">
        <v>29</v>
      </c>
      <c r="G152" t="s">
        <v>30</v>
      </c>
      <c r="H152" t="s">
        <v>35</v>
      </c>
      <c r="I152" s="2">
        <v>337</v>
      </c>
      <c r="J152" s="6">
        <f t="shared" si="8"/>
        <v>185.35000000000002</v>
      </c>
      <c r="K152" s="5">
        <v>0.55000000000000004</v>
      </c>
      <c r="L152" s="3">
        <v>0</v>
      </c>
      <c r="M152" s="3">
        <v>25</v>
      </c>
      <c r="N152" s="3">
        <v>0</v>
      </c>
      <c r="O152" s="3">
        <v>0.6</v>
      </c>
      <c r="P152" s="2">
        <v>0</v>
      </c>
      <c r="Q152" s="2">
        <v>-50</v>
      </c>
      <c r="R152" s="2">
        <v>-100</v>
      </c>
      <c r="S152" s="2">
        <v>-160</v>
      </c>
      <c r="T152" s="2">
        <v>-240</v>
      </c>
      <c r="U152" s="2">
        <v>-310</v>
      </c>
      <c r="V152" s="2">
        <v>-410</v>
      </c>
      <c r="W152" s="2">
        <f t="shared" si="9"/>
        <v>100</v>
      </c>
      <c r="X152" s="6">
        <f t="shared" si="10"/>
        <v>58.536585365853661</v>
      </c>
      <c r="Y152" s="6">
        <f t="shared" si="11"/>
        <v>75.609756097560975</v>
      </c>
    </row>
    <row r="153" spans="1:25" x14ac:dyDescent="0.25">
      <c r="A153" s="1">
        <v>44762</v>
      </c>
      <c r="B153" t="s">
        <v>134</v>
      </c>
      <c r="D153" t="s">
        <v>37</v>
      </c>
      <c r="E153" t="s">
        <v>41</v>
      </c>
      <c r="F153" t="s">
        <v>42</v>
      </c>
      <c r="G153" t="s">
        <v>30</v>
      </c>
      <c r="H153" t="s">
        <v>51</v>
      </c>
      <c r="I153" s="2">
        <v>370</v>
      </c>
      <c r="J153" s="6">
        <f t="shared" si="8"/>
        <v>192.4</v>
      </c>
      <c r="K153" s="5">
        <v>0.52</v>
      </c>
      <c r="L153" s="3">
        <v>15</v>
      </c>
      <c r="M153" s="3">
        <v>0</v>
      </c>
      <c r="N153" s="3">
        <v>0</v>
      </c>
      <c r="O153" s="3">
        <v>0.6</v>
      </c>
      <c r="P153" s="2">
        <v>0</v>
      </c>
      <c r="Q153" s="2">
        <v>50</v>
      </c>
      <c r="R153" s="2">
        <v>110</v>
      </c>
      <c r="S153" s="2">
        <v>150</v>
      </c>
      <c r="T153" s="2">
        <v>30</v>
      </c>
      <c r="U153" s="2">
        <v>-90</v>
      </c>
      <c r="V153" s="2">
        <v>-270</v>
      </c>
      <c r="W153" s="2">
        <f t="shared" si="9"/>
        <v>180</v>
      </c>
      <c r="X153" s="6">
        <f t="shared" si="10"/>
        <v>-11.111111111111111</v>
      </c>
      <c r="Y153" s="6">
        <f t="shared" si="11"/>
        <v>33.333333333333336</v>
      </c>
    </row>
    <row r="154" spans="1:25" x14ac:dyDescent="0.25">
      <c r="A154" s="1">
        <v>44494</v>
      </c>
      <c r="B154" t="s">
        <v>159</v>
      </c>
      <c r="D154" t="s">
        <v>37</v>
      </c>
      <c r="E154" t="s">
        <v>41</v>
      </c>
      <c r="F154" t="s">
        <v>42</v>
      </c>
      <c r="G154" t="s">
        <v>30</v>
      </c>
      <c r="H154" t="s">
        <v>43</v>
      </c>
      <c r="I154" s="2">
        <v>380</v>
      </c>
      <c r="J154" s="6">
        <f t="shared" si="8"/>
        <v>186.2</v>
      </c>
      <c r="K154" s="5">
        <v>0.49</v>
      </c>
      <c r="L154" s="3">
        <v>0</v>
      </c>
      <c r="M154" s="3">
        <v>0</v>
      </c>
      <c r="N154" s="3">
        <v>0</v>
      </c>
      <c r="O154" s="3">
        <v>0.6</v>
      </c>
      <c r="P154" s="2">
        <v>0</v>
      </c>
      <c r="Q154" s="2">
        <v>-40</v>
      </c>
      <c r="R154" s="2">
        <v>-90</v>
      </c>
      <c r="S154" s="2">
        <v>-120</v>
      </c>
      <c r="T154" s="2">
        <v>-180</v>
      </c>
      <c r="U154" s="2">
        <v>-280</v>
      </c>
      <c r="V154" s="2">
        <v>-400</v>
      </c>
      <c r="W154" s="2">
        <f t="shared" si="9"/>
        <v>120</v>
      </c>
      <c r="X154" s="6">
        <f t="shared" si="10"/>
        <v>45</v>
      </c>
      <c r="Y154" s="6">
        <f t="shared" si="11"/>
        <v>70</v>
      </c>
    </row>
    <row r="155" spans="1:25" x14ac:dyDescent="0.25">
      <c r="A155" s="1">
        <v>44769</v>
      </c>
      <c r="B155" t="s">
        <v>114</v>
      </c>
      <c r="D155" t="s">
        <v>37</v>
      </c>
      <c r="E155" t="s">
        <v>115</v>
      </c>
      <c r="F155" t="s">
        <v>29</v>
      </c>
      <c r="G155" t="s">
        <v>30</v>
      </c>
      <c r="H155" t="s">
        <v>43</v>
      </c>
      <c r="I155" s="2">
        <v>390</v>
      </c>
      <c r="J155" s="6">
        <f t="shared" si="8"/>
        <v>183.29999999999998</v>
      </c>
      <c r="K155" s="5">
        <v>0.47</v>
      </c>
      <c r="L155" s="3">
        <v>12.5</v>
      </c>
      <c r="M155" s="3">
        <v>0</v>
      </c>
      <c r="N155" s="3">
        <v>0</v>
      </c>
      <c r="O155" s="3">
        <v>0</v>
      </c>
      <c r="P155" s="2">
        <v>0</v>
      </c>
      <c r="Q155" s="2">
        <v>50</v>
      </c>
      <c r="R155" s="2">
        <v>80</v>
      </c>
      <c r="S155" s="2">
        <v>130</v>
      </c>
      <c r="T155" s="2">
        <v>-30</v>
      </c>
      <c r="U155" s="2">
        <v>-100</v>
      </c>
      <c r="V155" s="2">
        <v>-270</v>
      </c>
      <c r="W155" s="2">
        <f t="shared" si="9"/>
        <v>170</v>
      </c>
      <c r="X155" s="6">
        <f t="shared" si="10"/>
        <v>11.111111111111111</v>
      </c>
      <c r="Y155" s="6">
        <f t="shared" si="11"/>
        <v>37.037037037037038</v>
      </c>
    </row>
    <row r="156" spans="1:25" x14ac:dyDescent="0.25">
      <c r="A156" s="1">
        <v>44585</v>
      </c>
      <c r="B156" t="s">
        <v>154</v>
      </c>
      <c r="C156" t="s">
        <v>26</v>
      </c>
      <c r="D156" t="s">
        <v>37</v>
      </c>
      <c r="E156" t="s">
        <v>52</v>
      </c>
      <c r="F156" t="s">
        <v>29</v>
      </c>
      <c r="G156" t="s">
        <v>30</v>
      </c>
      <c r="H156" t="s">
        <v>56</v>
      </c>
      <c r="I156" s="2">
        <v>340</v>
      </c>
      <c r="J156" s="6">
        <f t="shared" si="8"/>
        <v>183.60000000000002</v>
      </c>
      <c r="K156" s="5">
        <v>0.54</v>
      </c>
      <c r="L156" s="3">
        <v>0</v>
      </c>
      <c r="M156" s="3">
        <v>25</v>
      </c>
      <c r="N156" s="3">
        <v>0</v>
      </c>
      <c r="O156" s="3">
        <v>0.6</v>
      </c>
      <c r="P156" s="2">
        <v>0</v>
      </c>
      <c r="Q156" s="2">
        <v>-60</v>
      </c>
      <c r="R156" s="2">
        <v>-110</v>
      </c>
      <c r="S156" s="2">
        <v>-150</v>
      </c>
      <c r="T156" s="2">
        <v>-200</v>
      </c>
      <c r="U156" s="2">
        <v>-320</v>
      </c>
      <c r="V156" s="2">
        <v>-400</v>
      </c>
      <c r="W156" s="2">
        <f t="shared" si="9"/>
        <v>80</v>
      </c>
      <c r="X156" s="6">
        <f t="shared" si="10"/>
        <v>50</v>
      </c>
      <c r="Y156" s="6">
        <f t="shared" si="11"/>
        <v>80</v>
      </c>
    </row>
    <row r="157" spans="1:25" x14ac:dyDescent="0.25">
      <c r="A157" s="1">
        <v>44844</v>
      </c>
      <c r="B157" t="s">
        <v>45</v>
      </c>
      <c r="C157" t="s">
        <v>46</v>
      </c>
      <c r="D157" t="s">
        <v>37</v>
      </c>
      <c r="E157" t="s">
        <v>28</v>
      </c>
      <c r="F157" t="s">
        <v>29</v>
      </c>
      <c r="G157" t="s">
        <v>30</v>
      </c>
      <c r="H157" t="s">
        <v>31</v>
      </c>
      <c r="I157" s="2">
        <v>330</v>
      </c>
      <c r="J157" s="6">
        <f t="shared" si="8"/>
        <v>201.29999999999998</v>
      </c>
      <c r="K157" s="5">
        <v>0.61</v>
      </c>
      <c r="L157" s="3">
        <v>8</v>
      </c>
      <c r="M157" s="3">
        <v>0</v>
      </c>
      <c r="N157" s="3">
        <v>0</v>
      </c>
      <c r="O157" s="3">
        <v>0.3</v>
      </c>
      <c r="P157" s="2">
        <v>0</v>
      </c>
      <c r="Q157" s="2">
        <v>-40</v>
      </c>
      <c r="R157" s="2">
        <v>-90</v>
      </c>
      <c r="S157" s="2">
        <v>-430</v>
      </c>
      <c r="T157" s="2">
        <v>-540</v>
      </c>
      <c r="U157" s="2">
        <v>-700</v>
      </c>
      <c r="V157" s="2">
        <v>-910</v>
      </c>
      <c r="W157" s="2">
        <f t="shared" si="9"/>
        <v>210</v>
      </c>
      <c r="X157" s="6">
        <f t="shared" si="10"/>
        <v>59.340659340659343</v>
      </c>
      <c r="Y157" s="6">
        <f t="shared" si="11"/>
        <v>76.92307692307692</v>
      </c>
    </row>
    <row r="158" spans="1:25" x14ac:dyDescent="0.25">
      <c r="A158" s="1">
        <v>44603</v>
      </c>
      <c r="B158" t="s">
        <v>155</v>
      </c>
      <c r="D158" t="s">
        <v>37</v>
      </c>
      <c r="F158" t="s">
        <v>156</v>
      </c>
      <c r="G158" t="s">
        <v>30</v>
      </c>
      <c r="H158" t="s">
        <v>43</v>
      </c>
      <c r="I158" s="2">
        <v>373</v>
      </c>
      <c r="J158" s="6">
        <f t="shared" si="8"/>
        <v>190.23</v>
      </c>
      <c r="K158" s="5">
        <v>0.51</v>
      </c>
      <c r="L158" s="3">
        <v>0</v>
      </c>
      <c r="M158" s="3">
        <v>0</v>
      </c>
      <c r="N158" s="3">
        <v>0</v>
      </c>
      <c r="O158" s="3">
        <v>0</v>
      </c>
      <c r="P158" s="2">
        <v>0</v>
      </c>
      <c r="Q158" s="2">
        <v>-50</v>
      </c>
      <c r="R158" s="2">
        <v>-80</v>
      </c>
      <c r="S158" s="2">
        <v>-120</v>
      </c>
      <c r="T158" s="2">
        <v>-200</v>
      </c>
      <c r="U158" s="2">
        <v>-280</v>
      </c>
      <c r="V158" s="2">
        <v>-400</v>
      </c>
      <c r="W158" s="2">
        <f t="shared" si="9"/>
        <v>120</v>
      </c>
      <c r="X158" s="6">
        <f t="shared" si="10"/>
        <v>50</v>
      </c>
      <c r="Y158" s="6">
        <f t="shared" si="11"/>
        <v>70</v>
      </c>
    </row>
    <row r="159" spans="1:25" x14ac:dyDescent="0.25">
      <c r="A159" s="1">
        <v>44726</v>
      </c>
      <c r="B159" t="s">
        <v>25</v>
      </c>
      <c r="C159" t="s">
        <v>26</v>
      </c>
      <c r="D159" t="s">
        <v>37</v>
      </c>
      <c r="E159" t="s">
        <v>28</v>
      </c>
      <c r="F159" t="s">
        <v>29</v>
      </c>
      <c r="G159" t="s">
        <v>30</v>
      </c>
      <c r="H159" t="s">
        <v>31</v>
      </c>
      <c r="I159" s="2">
        <v>325</v>
      </c>
      <c r="J159" s="6">
        <f t="shared" si="8"/>
        <v>201.5</v>
      </c>
      <c r="K159" s="5">
        <v>0.62</v>
      </c>
      <c r="L159" s="3">
        <v>0</v>
      </c>
      <c r="M159" s="3">
        <v>0</v>
      </c>
      <c r="N159" s="3">
        <v>0</v>
      </c>
      <c r="O159" s="3">
        <v>0.3</v>
      </c>
      <c r="P159" s="2">
        <v>0</v>
      </c>
      <c r="Q159" s="2">
        <v>-40</v>
      </c>
      <c r="R159" s="2">
        <v>-90</v>
      </c>
      <c r="S159" s="2">
        <v>-140</v>
      </c>
      <c r="T159" s="2">
        <v>-190</v>
      </c>
      <c r="U159" s="2">
        <v>-270</v>
      </c>
      <c r="V159" s="2">
        <v>-400</v>
      </c>
      <c r="W159" s="2">
        <f t="shared" si="9"/>
        <v>130</v>
      </c>
      <c r="X159" s="6">
        <f t="shared" si="10"/>
        <v>47.5</v>
      </c>
      <c r="Y159" s="6">
        <f t="shared" si="11"/>
        <v>67.5</v>
      </c>
    </row>
    <row r="160" spans="1:25" x14ac:dyDescent="0.25">
      <c r="A160" s="1">
        <v>44783</v>
      </c>
      <c r="B160" t="s">
        <v>139</v>
      </c>
      <c r="D160" t="s">
        <v>37</v>
      </c>
      <c r="F160" t="s">
        <v>101</v>
      </c>
      <c r="G160" t="s">
        <v>68</v>
      </c>
      <c r="H160" t="s">
        <v>31</v>
      </c>
      <c r="I160" s="2">
        <v>360</v>
      </c>
      <c r="J160" s="6">
        <f t="shared" si="8"/>
        <v>190.8</v>
      </c>
      <c r="K160" s="5">
        <v>0.53</v>
      </c>
      <c r="L160" s="3">
        <v>0</v>
      </c>
      <c r="M160" s="3">
        <v>0</v>
      </c>
      <c r="N160" s="3">
        <v>0</v>
      </c>
      <c r="O160" s="3">
        <v>0.6</v>
      </c>
      <c r="P160" s="2">
        <v>0</v>
      </c>
      <c r="Q160" s="2">
        <v>-30</v>
      </c>
      <c r="R160" s="2">
        <v>-80</v>
      </c>
      <c r="S160" s="2">
        <v>-120</v>
      </c>
      <c r="T160" s="2">
        <v>-190</v>
      </c>
      <c r="U160" s="2">
        <v>-280</v>
      </c>
      <c r="V160" s="2">
        <v>-400</v>
      </c>
      <c r="W160" s="2">
        <f t="shared" si="9"/>
        <v>120</v>
      </c>
      <c r="X160" s="6">
        <f t="shared" si="10"/>
        <v>47.5</v>
      </c>
      <c r="Y160" s="6">
        <f t="shared" si="11"/>
        <v>70</v>
      </c>
    </row>
    <row r="161" spans="1:25" x14ac:dyDescent="0.25">
      <c r="A161" s="1">
        <v>44770</v>
      </c>
      <c r="B161" t="s">
        <v>158</v>
      </c>
      <c r="D161" t="s">
        <v>37</v>
      </c>
      <c r="F161" t="s">
        <v>89</v>
      </c>
      <c r="G161" t="s">
        <v>90</v>
      </c>
      <c r="H161" t="s">
        <v>56</v>
      </c>
      <c r="I161" s="2">
        <v>336</v>
      </c>
      <c r="J161" s="6">
        <f t="shared" si="8"/>
        <v>184.8</v>
      </c>
      <c r="K161" s="5">
        <v>0.55000000000000004</v>
      </c>
      <c r="L161" s="3">
        <v>12.5</v>
      </c>
      <c r="M161" s="3">
        <v>0</v>
      </c>
      <c r="N161" s="3">
        <v>5.5</v>
      </c>
      <c r="O161" s="3">
        <v>0</v>
      </c>
      <c r="P161" s="2">
        <v>0</v>
      </c>
      <c r="Q161" s="2">
        <v>30</v>
      </c>
      <c r="R161" s="2">
        <v>80</v>
      </c>
      <c r="S161" s="2">
        <v>120</v>
      </c>
      <c r="T161" s="2">
        <v>-30</v>
      </c>
      <c r="U161" s="2">
        <v>-110</v>
      </c>
      <c r="V161" s="2">
        <v>-270</v>
      </c>
      <c r="W161" s="2">
        <f t="shared" si="9"/>
        <v>160</v>
      </c>
      <c r="X161" s="6">
        <f t="shared" si="10"/>
        <v>11.111111111111111</v>
      </c>
      <c r="Y161" s="6">
        <f t="shared" si="11"/>
        <v>40.74074074074074</v>
      </c>
    </row>
    <row r="162" spans="1:25" x14ac:dyDescent="0.25">
      <c r="A162" s="1">
        <v>44824</v>
      </c>
      <c r="B162" t="s">
        <v>130</v>
      </c>
      <c r="D162" t="s">
        <v>37</v>
      </c>
      <c r="E162" t="s">
        <v>131</v>
      </c>
      <c r="F162" t="s">
        <v>29</v>
      </c>
      <c r="G162" t="s">
        <v>30</v>
      </c>
      <c r="H162" t="s">
        <v>35</v>
      </c>
      <c r="I162" s="2">
        <v>327</v>
      </c>
      <c r="J162" s="6">
        <f t="shared" si="8"/>
        <v>179.85000000000002</v>
      </c>
      <c r="K162" s="5">
        <v>0.55000000000000004</v>
      </c>
      <c r="L162" s="3">
        <v>0</v>
      </c>
      <c r="M162" s="3">
        <v>0</v>
      </c>
      <c r="N162" s="3">
        <v>0</v>
      </c>
      <c r="O162" s="3">
        <v>0.6</v>
      </c>
      <c r="P162" s="2">
        <v>0</v>
      </c>
      <c r="Q162" s="2">
        <v>-30</v>
      </c>
      <c r="R162" s="2">
        <v>-70</v>
      </c>
      <c r="S162" s="2">
        <v>-130</v>
      </c>
      <c r="T162" s="2">
        <v>-200</v>
      </c>
      <c r="U162" s="2">
        <v>-280</v>
      </c>
      <c r="V162" s="2">
        <v>-400</v>
      </c>
      <c r="W162" s="2">
        <f t="shared" si="9"/>
        <v>120</v>
      </c>
      <c r="X162" s="6">
        <f t="shared" si="10"/>
        <v>50</v>
      </c>
      <c r="Y162" s="6">
        <f t="shared" si="11"/>
        <v>70</v>
      </c>
    </row>
    <row r="163" spans="1:25" x14ac:dyDescent="0.25">
      <c r="A163" s="1">
        <v>44795</v>
      </c>
      <c r="B163" t="s">
        <v>160</v>
      </c>
      <c r="D163" t="s">
        <v>37</v>
      </c>
      <c r="F163" t="s">
        <v>101</v>
      </c>
      <c r="G163" t="s">
        <v>68</v>
      </c>
      <c r="H163" t="s">
        <v>31</v>
      </c>
      <c r="I163" s="2">
        <v>360</v>
      </c>
      <c r="J163" s="6">
        <f t="shared" si="8"/>
        <v>190.8</v>
      </c>
      <c r="K163" s="5">
        <v>0.53</v>
      </c>
      <c r="L163" s="3">
        <v>12</v>
      </c>
      <c r="M163" s="3">
        <v>0</v>
      </c>
      <c r="N163" s="3">
        <v>0</v>
      </c>
      <c r="O163" s="3">
        <v>0</v>
      </c>
      <c r="P163" s="2">
        <v>0</v>
      </c>
      <c r="Q163" s="2">
        <v>20</v>
      </c>
      <c r="R163" s="2">
        <v>80</v>
      </c>
      <c r="S163" s="2">
        <v>130</v>
      </c>
      <c r="T163" s="2">
        <v>-30</v>
      </c>
      <c r="U163" s="2">
        <v>-150</v>
      </c>
      <c r="V163" s="2">
        <v>-270</v>
      </c>
      <c r="W163" s="2">
        <f t="shared" si="9"/>
        <v>120</v>
      </c>
      <c r="X163" s="6">
        <f t="shared" si="10"/>
        <v>11.111111111111111</v>
      </c>
      <c r="Y163" s="6">
        <f t="shared" si="11"/>
        <v>55.555555555555557</v>
      </c>
    </row>
    <row r="164" spans="1:25" x14ac:dyDescent="0.25">
      <c r="A164" s="1">
        <v>44826</v>
      </c>
      <c r="B164" t="s">
        <v>58</v>
      </c>
      <c r="D164" t="s">
        <v>37</v>
      </c>
      <c r="F164" t="s">
        <v>59</v>
      </c>
      <c r="G164" t="s">
        <v>55</v>
      </c>
      <c r="I164" s="2">
        <v>340</v>
      </c>
      <c r="J164" s="6">
        <f t="shared" si="8"/>
        <v>190.4</v>
      </c>
      <c r="K164" s="5">
        <v>0.56000000000000005</v>
      </c>
      <c r="L164" s="3">
        <v>0</v>
      </c>
      <c r="M164" s="3">
        <v>0</v>
      </c>
      <c r="N164" s="3">
        <v>5.5</v>
      </c>
      <c r="O164" s="3">
        <v>0.6</v>
      </c>
      <c r="P164" s="2">
        <v>0</v>
      </c>
      <c r="Q164" s="2">
        <v>-30</v>
      </c>
      <c r="R164" s="2">
        <v>-70</v>
      </c>
      <c r="S164" s="2">
        <v>-120</v>
      </c>
      <c r="T164" s="2">
        <v>-200</v>
      </c>
      <c r="U164" s="2">
        <v>-280</v>
      </c>
      <c r="V164" s="2">
        <v>-400</v>
      </c>
      <c r="W164" s="2">
        <f t="shared" si="9"/>
        <v>120</v>
      </c>
      <c r="X164" s="6">
        <f t="shared" si="10"/>
        <v>50</v>
      </c>
      <c r="Y164" s="6">
        <f t="shared" si="11"/>
        <v>70</v>
      </c>
    </row>
    <row r="165" spans="1:25" x14ac:dyDescent="0.25">
      <c r="A165" s="1">
        <v>44859</v>
      </c>
      <c r="B165" t="s">
        <v>161</v>
      </c>
      <c r="D165" t="s">
        <v>37</v>
      </c>
      <c r="F165" t="s">
        <v>101</v>
      </c>
      <c r="G165" t="s">
        <v>68</v>
      </c>
      <c r="H165" t="s">
        <v>31</v>
      </c>
      <c r="I165" s="2">
        <v>360</v>
      </c>
      <c r="J165" s="6">
        <f t="shared" si="8"/>
        <v>194.4</v>
      </c>
      <c r="K165" s="5">
        <v>0.54</v>
      </c>
      <c r="L165" s="3">
        <v>15</v>
      </c>
      <c r="M165" s="3">
        <v>0</v>
      </c>
      <c r="N165" s="3">
        <v>0</v>
      </c>
      <c r="O165" s="3">
        <v>0.6</v>
      </c>
      <c r="P165" s="2">
        <v>0</v>
      </c>
      <c r="Q165" s="2">
        <v>50</v>
      </c>
      <c r="R165" s="2">
        <v>120</v>
      </c>
      <c r="S165" s="2">
        <v>160</v>
      </c>
      <c r="T165" s="2">
        <v>10</v>
      </c>
      <c r="U165" s="2">
        <v>-110</v>
      </c>
      <c r="V165" s="2">
        <v>-270</v>
      </c>
      <c r="W165" s="2">
        <f t="shared" si="9"/>
        <v>160</v>
      </c>
      <c r="X165" s="6">
        <f t="shared" si="10"/>
        <v>-3.7037037037037037</v>
      </c>
      <c r="Y165" s="6">
        <f t="shared" si="11"/>
        <v>40.74074074074074</v>
      </c>
    </row>
    <row r="166" spans="1:25" x14ac:dyDescent="0.25">
      <c r="A166" s="1">
        <v>44482</v>
      </c>
      <c r="B166" t="s">
        <v>162</v>
      </c>
      <c r="D166" t="s">
        <v>37</v>
      </c>
      <c r="E166" t="s">
        <v>62</v>
      </c>
      <c r="F166" t="s">
        <v>29</v>
      </c>
      <c r="G166" t="s">
        <v>30</v>
      </c>
      <c r="H166" t="s">
        <v>43</v>
      </c>
      <c r="I166" s="2">
        <v>350</v>
      </c>
      <c r="J166" s="6">
        <f t="shared" si="8"/>
        <v>189</v>
      </c>
      <c r="K166" s="5">
        <v>0.54</v>
      </c>
      <c r="L166" s="3">
        <v>0</v>
      </c>
      <c r="M166" s="3">
        <v>0</v>
      </c>
      <c r="N166" s="3">
        <v>5.5</v>
      </c>
      <c r="O166" s="3">
        <v>0.6</v>
      </c>
      <c r="P166" s="2">
        <v>0</v>
      </c>
      <c r="Q166" s="2">
        <v>-130</v>
      </c>
      <c r="R166" s="2">
        <v>-150</v>
      </c>
      <c r="S166" s="2">
        <v>-190</v>
      </c>
      <c r="T166" s="2">
        <v>-230</v>
      </c>
      <c r="U166" s="2">
        <v>-270</v>
      </c>
      <c r="V166" s="2">
        <v>-390</v>
      </c>
      <c r="W166" s="2">
        <f t="shared" si="9"/>
        <v>120</v>
      </c>
      <c r="X166" s="6">
        <f t="shared" si="10"/>
        <v>58.974358974358971</v>
      </c>
      <c r="Y166" s="6">
        <f t="shared" si="11"/>
        <v>69.230769230769226</v>
      </c>
    </row>
    <row r="167" spans="1:25" x14ac:dyDescent="0.25">
      <c r="A167" s="1">
        <v>44497</v>
      </c>
      <c r="B167" t="s">
        <v>152</v>
      </c>
      <c r="C167" t="s">
        <v>26</v>
      </c>
      <c r="D167" t="s">
        <v>37</v>
      </c>
      <c r="F167" t="s">
        <v>29</v>
      </c>
      <c r="G167" t="s">
        <v>30</v>
      </c>
      <c r="H167" t="s">
        <v>35</v>
      </c>
      <c r="I167" s="2">
        <v>344</v>
      </c>
      <c r="J167" s="6">
        <f t="shared" si="8"/>
        <v>185.76000000000002</v>
      </c>
      <c r="K167" s="5">
        <v>0.54</v>
      </c>
      <c r="L167" s="3">
        <v>15</v>
      </c>
      <c r="M167" s="3">
        <v>0</v>
      </c>
      <c r="N167" s="3">
        <v>5.5</v>
      </c>
      <c r="O167" s="3">
        <v>0.6</v>
      </c>
      <c r="P167" s="2">
        <v>0</v>
      </c>
      <c r="Q167" s="2">
        <v>80</v>
      </c>
      <c r="R167" s="2">
        <v>160</v>
      </c>
      <c r="S167" s="2">
        <v>190</v>
      </c>
      <c r="T167" s="2">
        <v>50</v>
      </c>
      <c r="U167" s="2">
        <v>-120</v>
      </c>
      <c r="V167" s="2">
        <v>-260</v>
      </c>
      <c r="W167" s="2">
        <f t="shared" si="9"/>
        <v>140</v>
      </c>
      <c r="X167" s="6">
        <f t="shared" si="10"/>
        <v>-19.23076923076923</v>
      </c>
      <c r="Y167" s="6">
        <f t="shared" si="11"/>
        <v>46.153846153846153</v>
      </c>
    </row>
    <row r="168" spans="1:25" x14ac:dyDescent="0.25">
      <c r="A168" s="1">
        <v>44557</v>
      </c>
      <c r="B168" t="s">
        <v>118</v>
      </c>
      <c r="D168" t="s">
        <v>37</v>
      </c>
      <c r="E168" t="s">
        <v>41</v>
      </c>
      <c r="F168" t="s">
        <v>42</v>
      </c>
      <c r="G168" t="s">
        <v>30</v>
      </c>
      <c r="H168" t="s">
        <v>43</v>
      </c>
      <c r="I168" s="2">
        <v>370</v>
      </c>
      <c r="J168" s="6">
        <f t="shared" si="8"/>
        <v>185</v>
      </c>
      <c r="K168" s="5">
        <v>0.5</v>
      </c>
      <c r="L168" s="3">
        <v>0</v>
      </c>
      <c r="M168" s="3">
        <v>0</v>
      </c>
      <c r="N168" s="3">
        <v>0</v>
      </c>
      <c r="O168" s="3">
        <v>0.6</v>
      </c>
      <c r="P168" s="2">
        <v>0</v>
      </c>
      <c r="Q168" s="2">
        <v>-90</v>
      </c>
      <c r="R168" s="2">
        <v>-120</v>
      </c>
      <c r="S168" s="2">
        <v>-150</v>
      </c>
      <c r="T168" s="2">
        <v>-180</v>
      </c>
      <c r="U168" s="2">
        <v>-250</v>
      </c>
      <c r="V168" s="2">
        <v>-390</v>
      </c>
      <c r="W168" s="2">
        <f t="shared" si="9"/>
        <v>140</v>
      </c>
      <c r="X168" s="6">
        <f t="shared" si="10"/>
        <v>46.153846153846153</v>
      </c>
      <c r="Y168" s="6">
        <f t="shared" si="11"/>
        <v>64.102564102564102</v>
      </c>
    </row>
    <row r="169" spans="1:25" x14ac:dyDescent="0.25">
      <c r="A169" s="1">
        <v>44860</v>
      </c>
      <c r="B169" t="s">
        <v>163</v>
      </c>
      <c r="D169" t="s">
        <v>37</v>
      </c>
      <c r="E169" t="s">
        <v>164</v>
      </c>
      <c r="F169" t="s">
        <v>29</v>
      </c>
      <c r="G169" t="s">
        <v>30</v>
      </c>
      <c r="H169" t="s">
        <v>35</v>
      </c>
      <c r="I169" s="2">
        <v>336</v>
      </c>
      <c r="J169" s="6">
        <f t="shared" si="8"/>
        <v>184.8</v>
      </c>
      <c r="K169" s="5">
        <v>0.55000000000000004</v>
      </c>
      <c r="L169" s="3">
        <v>15</v>
      </c>
      <c r="M169" s="3">
        <v>0</v>
      </c>
      <c r="N169" s="3">
        <v>5.5</v>
      </c>
      <c r="O169" s="3">
        <v>0.6</v>
      </c>
      <c r="P169" s="2">
        <v>0</v>
      </c>
      <c r="Q169" s="2">
        <v>40</v>
      </c>
      <c r="R169" s="2">
        <v>110</v>
      </c>
      <c r="S169" s="2">
        <v>150</v>
      </c>
      <c r="T169" s="2">
        <v>0</v>
      </c>
      <c r="U169" s="2">
        <v>-110</v>
      </c>
      <c r="V169" s="2">
        <v>-260</v>
      </c>
      <c r="W169" s="2">
        <f t="shared" si="9"/>
        <v>150</v>
      </c>
      <c r="X169" s="6">
        <f t="shared" si="10"/>
        <v>0</v>
      </c>
      <c r="Y169" s="6">
        <f t="shared" si="11"/>
        <v>42.307692307692307</v>
      </c>
    </row>
    <row r="170" spans="1:25" x14ac:dyDescent="0.25">
      <c r="A170" s="1">
        <v>44795</v>
      </c>
      <c r="B170" t="s">
        <v>160</v>
      </c>
      <c r="D170" t="s">
        <v>37</v>
      </c>
      <c r="F170" t="s">
        <v>101</v>
      </c>
      <c r="G170" t="s">
        <v>68</v>
      </c>
      <c r="H170" t="s">
        <v>31</v>
      </c>
      <c r="I170" s="2">
        <v>360</v>
      </c>
      <c r="J170" s="6">
        <f t="shared" si="8"/>
        <v>190.8</v>
      </c>
      <c r="K170" s="5">
        <v>0.53</v>
      </c>
      <c r="L170" s="3">
        <v>0</v>
      </c>
      <c r="M170" s="3">
        <v>0</v>
      </c>
      <c r="N170" s="3">
        <v>0</v>
      </c>
      <c r="O170" s="3">
        <v>0</v>
      </c>
      <c r="P170" s="2">
        <v>0</v>
      </c>
      <c r="Q170" s="2">
        <v>-40</v>
      </c>
      <c r="R170" s="2">
        <v>-80</v>
      </c>
      <c r="S170" s="2">
        <v>-130</v>
      </c>
      <c r="T170" s="2">
        <v>-170</v>
      </c>
      <c r="U170" s="2">
        <v>-270</v>
      </c>
      <c r="V170" s="2">
        <v>-390</v>
      </c>
      <c r="W170" s="2">
        <f t="shared" si="9"/>
        <v>120</v>
      </c>
      <c r="X170" s="6">
        <f t="shared" si="10"/>
        <v>43.589743589743591</v>
      </c>
      <c r="Y170" s="6">
        <f t="shared" si="11"/>
        <v>69.230769230769226</v>
      </c>
    </row>
    <row r="171" spans="1:25" x14ac:dyDescent="0.25">
      <c r="A171" s="1">
        <v>45154</v>
      </c>
      <c r="B171" t="s">
        <v>157</v>
      </c>
      <c r="F171" t="s">
        <v>29</v>
      </c>
      <c r="G171" t="s">
        <v>30</v>
      </c>
      <c r="H171" t="s">
        <v>35</v>
      </c>
      <c r="I171" s="2">
        <v>336</v>
      </c>
      <c r="J171" s="6">
        <f t="shared" si="8"/>
        <v>184.8</v>
      </c>
      <c r="K171" s="5">
        <v>0.55000000000000004</v>
      </c>
      <c r="L171" s="3">
        <v>15</v>
      </c>
      <c r="M171" s="3">
        <v>0</v>
      </c>
      <c r="N171" s="3">
        <v>5.5</v>
      </c>
      <c r="O171" s="3">
        <v>0.6</v>
      </c>
      <c r="P171" s="2">
        <v>0</v>
      </c>
      <c r="Q171" s="2">
        <v>50</v>
      </c>
      <c r="R171" s="2">
        <v>100</v>
      </c>
      <c r="S171" s="2">
        <v>160</v>
      </c>
      <c r="T171" s="2">
        <v>10</v>
      </c>
      <c r="U171" s="2">
        <v>-100</v>
      </c>
      <c r="V171" s="4">
        <v>-260</v>
      </c>
      <c r="W171" s="2">
        <f t="shared" si="9"/>
        <v>160</v>
      </c>
      <c r="X171" s="6">
        <f t="shared" si="10"/>
        <v>-3.8461538461538463</v>
      </c>
      <c r="Y171" s="6">
        <f t="shared" si="11"/>
        <v>38.46153846153846</v>
      </c>
    </row>
    <row r="172" spans="1:25" x14ac:dyDescent="0.25">
      <c r="A172" s="1">
        <v>44109</v>
      </c>
      <c r="B172" t="s">
        <v>47</v>
      </c>
      <c r="D172" t="s">
        <v>37</v>
      </c>
      <c r="E172" t="s">
        <v>48</v>
      </c>
      <c r="F172" t="s">
        <v>29</v>
      </c>
      <c r="G172" t="s">
        <v>30</v>
      </c>
      <c r="H172" t="s">
        <v>35</v>
      </c>
      <c r="I172" s="2">
        <v>336</v>
      </c>
      <c r="J172" s="6">
        <f t="shared" si="8"/>
        <v>184.8</v>
      </c>
      <c r="K172" s="5">
        <v>0.55000000000000004</v>
      </c>
      <c r="L172" s="3">
        <v>12.5</v>
      </c>
      <c r="M172" s="3">
        <v>0</v>
      </c>
      <c r="N172" s="3">
        <v>0</v>
      </c>
      <c r="O172" s="3">
        <v>0.6</v>
      </c>
      <c r="P172" s="2">
        <v>0</v>
      </c>
      <c r="Q172" s="2">
        <v>20</v>
      </c>
      <c r="R172" s="2">
        <v>50</v>
      </c>
      <c r="S172" s="2">
        <v>60</v>
      </c>
      <c r="T172" s="2">
        <v>-120</v>
      </c>
      <c r="U172" s="2">
        <v>-190</v>
      </c>
      <c r="V172" s="2">
        <v>-250</v>
      </c>
      <c r="W172" s="2">
        <f t="shared" si="9"/>
        <v>60</v>
      </c>
      <c r="X172" s="6">
        <f t="shared" si="10"/>
        <v>48</v>
      </c>
      <c r="Y172" s="6">
        <f t="shared" si="11"/>
        <v>76</v>
      </c>
    </row>
    <row r="173" spans="1:25" x14ac:dyDescent="0.25">
      <c r="A173" s="1">
        <v>44373</v>
      </c>
      <c r="B173" t="s">
        <v>75</v>
      </c>
      <c r="D173" t="s">
        <v>37</v>
      </c>
      <c r="E173" t="s">
        <v>41</v>
      </c>
      <c r="F173" t="s">
        <v>42</v>
      </c>
      <c r="G173" t="s">
        <v>30</v>
      </c>
      <c r="H173" t="s">
        <v>43</v>
      </c>
      <c r="I173" s="2">
        <v>380</v>
      </c>
      <c r="J173" s="6">
        <f t="shared" si="8"/>
        <v>193.8</v>
      </c>
      <c r="K173" s="5">
        <v>0.51</v>
      </c>
      <c r="L173" s="3">
        <v>10</v>
      </c>
      <c r="M173" s="3">
        <v>25</v>
      </c>
      <c r="N173" s="3">
        <v>5.625</v>
      </c>
      <c r="O173" s="3">
        <v>0.6</v>
      </c>
      <c r="P173" s="2">
        <v>0</v>
      </c>
      <c r="Q173" s="2">
        <v>90</v>
      </c>
      <c r="R173" s="2">
        <v>160</v>
      </c>
      <c r="S173" s="2">
        <v>310</v>
      </c>
      <c r="T173" s="2">
        <v>300</v>
      </c>
      <c r="U173" s="2">
        <v>10</v>
      </c>
      <c r="V173" s="2">
        <v>-250</v>
      </c>
      <c r="W173" s="2">
        <f t="shared" si="9"/>
        <v>260</v>
      </c>
      <c r="X173" s="6">
        <f t="shared" si="10"/>
        <v>-120</v>
      </c>
      <c r="Y173" s="6">
        <f t="shared" si="11"/>
        <v>-4</v>
      </c>
    </row>
    <row r="174" spans="1:25" x14ac:dyDescent="0.25">
      <c r="A174" s="1">
        <v>45098</v>
      </c>
      <c r="B174" t="s">
        <v>44</v>
      </c>
      <c r="C174" t="s">
        <v>26</v>
      </c>
      <c r="D174" t="s">
        <v>37</v>
      </c>
      <c r="E174" t="s">
        <v>28</v>
      </c>
      <c r="F174" t="s">
        <v>29</v>
      </c>
      <c r="G174" t="s">
        <v>30</v>
      </c>
      <c r="H174" t="s">
        <v>35</v>
      </c>
      <c r="I174" s="2">
        <v>335</v>
      </c>
      <c r="J174" s="6">
        <f t="shared" si="8"/>
        <v>184.25000000000003</v>
      </c>
      <c r="K174" s="5">
        <v>0.55000000000000004</v>
      </c>
      <c r="L174" s="3">
        <v>0</v>
      </c>
      <c r="M174" s="3">
        <v>0</v>
      </c>
      <c r="N174" s="3">
        <v>5.5</v>
      </c>
      <c r="O174" s="3">
        <v>0.6</v>
      </c>
      <c r="P174" s="2">
        <v>0</v>
      </c>
      <c r="Q174" s="2">
        <v>-40</v>
      </c>
      <c r="R174" s="2">
        <v>-80</v>
      </c>
      <c r="S174" s="2">
        <v>-130</v>
      </c>
      <c r="T174" s="2">
        <v>-190</v>
      </c>
      <c r="U174" s="2">
        <v>-270</v>
      </c>
      <c r="V174" s="2">
        <v>-390</v>
      </c>
      <c r="W174" s="2">
        <f t="shared" si="9"/>
        <v>120</v>
      </c>
      <c r="X174" s="6">
        <f t="shared" si="10"/>
        <v>48.717948717948715</v>
      </c>
      <c r="Y174" s="6">
        <f t="shared" si="11"/>
        <v>69.230769230769226</v>
      </c>
    </row>
    <row r="175" spans="1:25" x14ac:dyDescent="0.25">
      <c r="A175" s="1">
        <v>44741</v>
      </c>
      <c r="B175" t="s">
        <v>122</v>
      </c>
      <c r="D175" t="s">
        <v>37</v>
      </c>
      <c r="F175" t="s">
        <v>123</v>
      </c>
      <c r="G175" t="s">
        <v>55</v>
      </c>
      <c r="H175" t="s">
        <v>35</v>
      </c>
      <c r="I175" s="2">
        <v>340</v>
      </c>
      <c r="J175" s="6">
        <f t="shared" si="8"/>
        <v>183.60000000000002</v>
      </c>
      <c r="K175" s="5">
        <v>0.54</v>
      </c>
      <c r="L175" s="3">
        <v>0</v>
      </c>
      <c r="M175" s="3">
        <v>0</v>
      </c>
      <c r="N175" s="3">
        <v>5.5</v>
      </c>
      <c r="O175" s="3">
        <v>0.6</v>
      </c>
      <c r="P175" s="2">
        <v>0</v>
      </c>
      <c r="Q175" s="2">
        <v>-30</v>
      </c>
      <c r="R175" s="2">
        <v>-80</v>
      </c>
      <c r="S175" s="2">
        <v>-130</v>
      </c>
      <c r="T175" s="2">
        <v>-190</v>
      </c>
      <c r="U175" s="2">
        <v>-270</v>
      </c>
      <c r="V175" s="2">
        <v>-380</v>
      </c>
      <c r="W175" s="2">
        <f t="shared" si="9"/>
        <v>110</v>
      </c>
      <c r="X175" s="6">
        <f t="shared" si="10"/>
        <v>50</v>
      </c>
      <c r="Y175" s="6">
        <f t="shared" si="11"/>
        <v>71.05263157894737</v>
      </c>
    </row>
    <row r="176" spans="1:25" x14ac:dyDescent="0.25">
      <c r="A176" s="1">
        <v>44802</v>
      </c>
      <c r="B176" t="s">
        <v>144</v>
      </c>
      <c r="D176" t="s">
        <v>37</v>
      </c>
      <c r="F176" t="s">
        <v>29</v>
      </c>
      <c r="G176" t="s">
        <v>30</v>
      </c>
      <c r="H176" t="s">
        <v>145</v>
      </c>
      <c r="I176" s="2">
        <v>336</v>
      </c>
      <c r="J176" s="6">
        <f t="shared" si="8"/>
        <v>184.8</v>
      </c>
      <c r="K176" s="5">
        <v>0.55000000000000004</v>
      </c>
      <c r="L176" s="3">
        <v>0</v>
      </c>
      <c r="M176" s="3">
        <v>0</v>
      </c>
      <c r="N176" s="3">
        <v>0</v>
      </c>
      <c r="O176" s="3">
        <v>0.6</v>
      </c>
      <c r="P176" s="2">
        <v>0</v>
      </c>
      <c r="Q176" s="2">
        <v>-50</v>
      </c>
      <c r="R176" s="2">
        <v>-90</v>
      </c>
      <c r="S176" s="2">
        <v>-140</v>
      </c>
      <c r="T176" s="2">
        <v>-190</v>
      </c>
      <c r="U176" s="2">
        <v>-250</v>
      </c>
      <c r="V176" s="2">
        <v>-380</v>
      </c>
      <c r="W176" s="2">
        <f t="shared" si="9"/>
        <v>130</v>
      </c>
      <c r="X176" s="6">
        <f t="shared" si="10"/>
        <v>50</v>
      </c>
      <c r="Y176" s="6">
        <f t="shared" si="11"/>
        <v>65.78947368421052</v>
      </c>
    </row>
    <row r="177" spans="1:25" x14ac:dyDescent="0.25">
      <c r="A177" s="1">
        <v>44494</v>
      </c>
      <c r="B177" t="s">
        <v>159</v>
      </c>
      <c r="D177" t="s">
        <v>37</v>
      </c>
      <c r="E177" t="s">
        <v>41</v>
      </c>
      <c r="F177" t="s">
        <v>42</v>
      </c>
      <c r="G177" t="s">
        <v>30</v>
      </c>
      <c r="H177" t="s">
        <v>43</v>
      </c>
      <c r="I177" s="2">
        <v>380</v>
      </c>
      <c r="J177" s="6">
        <f t="shared" si="8"/>
        <v>186.2</v>
      </c>
      <c r="K177" s="5">
        <v>0.49</v>
      </c>
      <c r="L177" s="3">
        <v>12.5</v>
      </c>
      <c r="M177" s="3">
        <v>0</v>
      </c>
      <c r="N177" s="3">
        <v>0</v>
      </c>
      <c r="O177" s="3">
        <v>0.6</v>
      </c>
      <c r="P177" s="2">
        <v>0</v>
      </c>
      <c r="Q177" s="2">
        <v>40</v>
      </c>
      <c r="R177" s="2">
        <v>70</v>
      </c>
      <c r="S177" s="2">
        <v>100</v>
      </c>
      <c r="T177" s="2">
        <v>-50</v>
      </c>
      <c r="U177" s="2">
        <v>-140</v>
      </c>
      <c r="V177" s="2">
        <v>-250</v>
      </c>
      <c r="W177" s="2">
        <f t="shared" si="9"/>
        <v>110</v>
      </c>
      <c r="X177" s="6">
        <f t="shared" si="10"/>
        <v>20</v>
      </c>
      <c r="Y177" s="6">
        <f t="shared" si="11"/>
        <v>56</v>
      </c>
    </row>
    <row r="178" spans="1:25" x14ac:dyDescent="0.25">
      <c r="A178" s="1">
        <v>44859</v>
      </c>
      <c r="B178" t="s">
        <v>161</v>
      </c>
      <c r="D178" t="s">
        <v>37</v>
      </c>
      <c r="F178" t="s">
        <v>101</v>
      </c>
      <c r="G178" t="s">
        <v>68</v>
      </c>
      <c r="H178" t="s">
        <v>31</v>
      </c>
      <c r="I178" s="2">
        <v>360</v>
      </c>
      <c r="J178" s="6">
        <f t="shared" si="8"/>
        <v>194.4</v>
      </c>
      <c r="K178" s="5">
        <v>0.54</v>
      </c>
      <c r="L178" s="3">
        <v>0</v>
      </c>
      <c r="M178" s="3">
        <v>0</v>
      </c>
      <c r="N178" s="3">
        <v>0</v>
      </c>
      <c r="O178" s="3">
        <v>0.6</v>
      </c>
      <c r="P178" s="2">
        <v>0</v>
      </c>
      <c r="Q178" s="2">
        <v>-50</v>
      </c>
      <c r="R178" s="2">
        <v>-90</v>
      </c>
      <c r="S178" s="2">
        <v>-130</v>
      </c>
      <c r="T178" s="2">
        <v>-190</v>
      </c>
      <c r="U178" s="2">
        <v>-270</v>
      </c>
      <c r="V178" s="2">
        <v>-380</v>
      </c>
      <c r="W178" s="2">
        <f t="shared" si="9"/>
        <v>110</v>
      </c>
      <c r="X178" s="6">
        <f t="shared" si="10"/>
        <v>50</v>
      </c>
      <c r="Y178" s="6">
        <f t="shared" si="11"/>
        <v>71.05263157894737</v>
      </c>
    </row>
    <row r="179" spans="1:25" x14ac:dyDescent="0.25">
      <c r="A179" s="1">
        <v>44915</v>
      </c>
      <c r="B179" t="s">
        <v>76</v>
      </c>
      <c r="C179" t="s">
        <v>26</v>
      </c>
      <c r="D179" t="s">
        <v>37</v>
      </c>
      <c r="F179" t="s">
        <v>29</v>
      </c>
      <c r="G179" t="s">
        <v>30</v>
      </c>
      <c r="H179" t="s">
        <v>35</v>
      </c>
      <c r="I179" s="2">
        <v>337</v>
      </c>
      <c r="J179" s="6">
        <f t="shared" si="8"/>
        <v>185.35000000000002</v>
      </c>
      <c r="K179" s="5">
        <v>0.55000000000000004</v>
      </c>
      <c r="L179" s="3">
        <v>8</v>
      </c>
      <c r="M179" s="3">
        <v>25</v>
      </c>
      <c r="N179" s="3">
        <v>0</v>
      </c>
      <c r="O179" s="3">
        <v>0.6</v>
      </c>
      <c r="P179" s="2">
        <v>0</v>
      </c>
      <c r="Q179" s="2">
        <v>0</v>
      </c>
      <c r="R179" s="2">
        <v>20</v>
      </c>
      <c r="S179" s="2">
        <v>50</v>
      </c>
      <c r="T179" s="2">
        <v>-110</v>
      </c>
      <c r="U179" s="2">
        <v>-270</v>
      </c>
      <c r="V179" s="2">
        <v>-360</v>
      </c>
      <c r="W179" s="2">
        <f t="shared" si="9"/>
        <v>90</v>
      </c>
      <c r="X179" s="6">
        <f t="shared" si="10"/>
        <v>30.555555555555557</v>
      </c>
      <c r="Y179" s="6">
        <f t="shared" si="11"/>
        <v>75</v>
      </c>
    </row>
    <row r="180" spans="1:25" x14ac:dyDescent="0.25">
      <c r="A180" s="1">
        <v>44571</v>
      </c>
      <c r="B180" t="s">
        <v>97</v>
      </c>
      <c r="D180" t="s">
        <v>37</v>
      </c>
      <c r="E180" t="s">
        <v>88</v>
      </c>
      <c r="F180" t="s">
        <v>29</v>
      </c>
      <c r="G180" t="s">
        <v>30</v>
      </c>
      <c r="H180" t="s">
        <v>35</v>
      </c>
      <c r="I180" s="2">
        <v>336</v>
      </c>
      <c r="J180" s="6">
        <f t="shared" si="8"/>
        <v>184.8</v>
      </c>
      <c r="K180" s="5">
        <v>0.55000000000000004</v>
      </c>
      <c r="L180" s="3">
        <v>15</v>
      </c>
      <c r="M180" s="3">
        <v>0</v>
      </c>
      <c r="N180" s="3">
        <v>4</v>
      </c>
      <c r="O180" s="3">
        <v>0.6</v>
      </c>
      <c r="P180" s="2">
        <v>0</v>
      </c>
      <c r="Q180" s="2">
        <v>30</v>
      </c>
      <c r="R180" s="2">
        <v>80</v>
      </c>
      <c r="S180" s="2">
        <v>150</v>
      </c>
      <c r="T180" s="2">
        <v>-40</v>
      </c>
      <c r="U180" s="2">
        <v>-110</v>
      </c>
      <c r="V180" s="2">
        <v>-250</v>
      </c>
      <c r="W180" s="2">
        <f t="shared" si="9"/>
        <v>140</v>
      </c>
      <c r="X180" s="6">
        <f t="shared" si="10"/>
        <v>16</v>
      </c>
      <c r="Y180" s="6">
        <f t="shared" si="11"/>
        <v>44</v>
      </c>
    </row>
    <row r="181" spans="1:25" x14ac:dyDescent="0.25">
      <c r="A181" s="1">
        <v>44482</v>
      </c>
      <c r="B181" t="s">
        <v>162</v>
      </c>
      <c r="D181" t="s">
        <v>37</v>
      </c>
      <c r="E181" t="s">
        <v>62</v>
      </c>
      <c r="F181" t="s">
        <v>29</v>
      </c>
      <c r="G181" t="s">
        <v>30</v>
      </c>
      <c r="H181" t="s">
        <v>43</v>
      </c>
      <c r="I181" s="2">
        <v>350</v>
      </c>
      <c r="J181" s="6">
        <f t="shared" si="8"/>
        <v>189</v>
      </c>
      <c r="K181" s="5">
        <v>0.54</v>
      </c>
      <c r="L181" s="3">
        <v>12.5</v>
      </c>
      <c r="M181" s="3">
        <v>0</v>
      </c>
      <c r="N181" s="3">
        <v>5.5</v>
      </c>
      <c r="O181" s="3">
        <v>0.6</v>
      </c>
      <c r="P181" s="2">
        <v>0</v>
      </c>
      <c r="Q181" s="2">
        <v>100</v>
      </c>
      <c r="R181" s="2">
        <v>160</v>
      </c>
      <c r="S181" s="2">
        <v>190</v>
      </c>
      <c r="T181" s="2">
        <v>-70</v>
      </c>
      <c r="U181" s="2">
        <v>-130</v>
      </c>
      <c r="V181" s="2">
        <v>-240</v>
      </c>
      <c r="W181" s="2">
        <f t="shared" si="9"/>
        <v>110</v>
      </c>
      <c r="X181" s="6">
        <f t="shared" si="10"/>
        <v>29.166666666666668</v>
      </c>
      <c r="Y181" s="6">
        <f t="shared" si="11"/>
        <v>54.166666666666664</v>
      </c>
    </row>
    <row r="182" spans="1:25" x14ac:dyDescent="0.25">
      <c r="A182" s="1">
        <v>44503</v>
      </c>
      <c r="B182" t="s">
        <v>153</v>
      </c>
      <c r="D182" t="s">
        <v>37</v>
      </c>
      <c r="E182" t="s">
        <v>88</v>
      </c>
      <c r="F182" t="s">
        <v>29</v>
      </c>
      <c r="G182" t="s">
        <v>30</v>
      </c>
      <c r="H182" t="s">
        <v>35</v>
      </c>
      <c r="I182" s="2">
        <v>344</v>
      </c>
      <c r="J182" s="6">
        <f t="shared" si="8"/>
        <v>185.76000000000002</v>
      </c>
      <c r="K182" s="5">
        <v>0.54</v>
      </c>
      <c r="L182" s="3">
        <v>10</v>
      </c>
      <c r="M182" s="3">
        <v>0</v>
      </c>
      <c r="N182" s="3">
        <v>2.2360000000000002</v>
      </c>
      <c r="O182" s="3">
        <v>0</v>
      </c>
      <c r="P182" s="2">
        <v>0</v>
      </c>
      <c r="Q182" s="2">
        <v>50</v>
      </c>
      <c r="R182" s="2">
        <v>120</v>
      </c>
      <c r="S182" s="2">
        <v>70</v>
      </c>
      <c r="T182" s="2">
        <v>-50</v>
      </c>
      <c r="U182" s="2">
        <v>-160</v>
      </c>
      <c r="V182" s="2">
        <v>-230</v>
      </c>
      <c r="W182" s="2">
        <f t="shared" si="9"/>
        <v>70</v>
      </c>
      <c r="X182" s="6">
        <f t="shared" si="10"/>
        <v>21.739130434782609</v>
      </c>
      <c r="Y182" s="6">
        <f t="shared" si="11"/>
        <v>69.565217391304344</v>
      </c>
    </row>
    <row r="183" spans="1:25" x14ac:dyDescent="0.25">
      <c r="A183" s="1">
        <v>44574</v>
      </c>
      <c r="B183" t="s">
        <v>143</v>
      </c>
      <c r="D183" t="s">
        <v>37</v>
      </c>
      <c r="E183" t="s">
        <v>62</v>
      </c>
      <c r="F183" t="s">
        <v>29</v>
      </c>
      <c r="G183" t="s">
        <v>30</v>
      </c>
      <c r="H183" t="s">
        <v>43</v>
      </c>
      <c r="I183" s="2">
        <v>337</v>
      </c>
      <c r="J183" s="6">
        <f t="shared" si="8"/>
        <v>185.35000000000002</v>
      </c>
      <c r="K183" s="5">
        <v>0.55000000000000004</v>
      </c>
      <c r="L183" s="3">
        <v>15</v>
      </c>
      <c r="M183" s="3">
        <v>0</v>
      </c>
      <c r="N183" s="3">
        <v>5.5</v>
      </c>
      <c r="O183" s="3">
        <v>0.6</v>
      </c>
      <c r="P183" s="2">
        <v>0</v>
      </c>
      <c r="Q183" s="2">
        <v>50</v>
      </c>
      <c r="R183" s="2">
        <v>110</v>
      </c>
      <c r="S183" s="2">
        <v>140</v>
      </c>
      <c r="T183" s="2">
        <v>-50</v>
      </c>
      <c r="U183" s="2">
        <v>-140</v>
      </c>
      <c r="V183" s="2">
        <v>-230</v>
      </c>
      <c r="W183" s="2">
        <f t="shared" si="9"/>
        <v>90</v>
      </c>
      <c r="X183" s="6">
        <f t="shared" si="10"/>
        <v>21.739130434782609</v>
      </c>
      <c r="Y183" s="6">
        <f t="shared" si="11"/>
        <v>60.869565217391305</v>
      </c>
    </row>
    <row r="184" spans="1:25" x14ac:dyDescent="0.25">
      <c r="A184" s="1">
        <v>44581</v>
      </c>
      <c r="B184" t="s">
        <v>154</v>
      </c>
      <c r="C184" t="s">
        <v>26</v>
      </c>
      <c r="D184" t="s">
        <v>37</v>
      </c>
      <c r="E184" t="s">
        <v>52</v>
      </c>
      <c r="F184" t="s">
        <v>29</v>
      </c>
      <c r="G184" t="s">
        <v>30</v>
      </c>
      <c r="H184" t="s">
        <v>31</v>
      </c>
      <c r="I184" s="2">
        <v>370</v>
      </c>
      <c r="J184" s="6">
        <f t="shared" si="8"/>
        <v>188.70000000000002</v>
      </c>
      <c r="K184" s="5">
        <v>0.51</v>
      </c>
      <c r="L184" s="3">
        <v>10</v>
      </c>
      <c r="M184" s="3">
        <v>0</v>
      </c>
      <c r="N184" s="3">
        <v>6</v>
      </c>
      <c r="O184" s="3">
        <v>0.6</v>
      </c>
      <c r="P184" s="2">
        <v>0</v>
      </c>
      <c r="Q184" s="2">
        <v>50</v>
      </c>
      <c r="R184" s="2">
        <v>80</v>
      </c>
      <c r="S184" s="2">
        <v>100</v>
      </c>
      <c r="T184" s="2">
        <v>-50</v>
      </c>
      <c r="U184" s="2">
        <v>-120</v>
      </c>
      <c r="V184" s="2">
        <v>-230</v>
      </c>
      <c r="W184" s="2">
        <f t="shared" si="9"/>
        <v>110</v>
      </c>
      <c r="X184" s="6">
        <f t="shared" si="10"/>
        <v>21.739130434782609</v>
      </c>
      <c r="Y184" s="6">
        <f t="shared" si="11"/>
        <v>52.173913043478258</v>
      </c>
    </row>
    <row r="185" spans="1:25" x14ac:dyDescent="0.25">
      <c r="A185" s="1">
        <v>44603</v>
      </c>
      <c r="B185" t="s">
        <v>155</v>
      </c>
      <c r="D185" t="s">
        <v>37</v>
      </c>
      <c r="F185" t="s">
        <v>156</v>
      </c>
      <c r="G185" t="s">
        <v>30</v>
      </c>
      <c r="H185" t="s">
        <v>43</v>
      </c>
      <c r="I185" s="2">
        <v>373</v>
      </c>
      <c r="J185" s="6">
        <f t="shared" si="8"/>
        <v>190.23</v>
      </c>
      <c r="K185" s="5">
        <v>0.51</v>
      </c>
      <c r="L185" s="3">
        <v>15</v>
      </c>
      <c r="M185" s="3">
        <v>0</v>
      </c>
      <c r="N185" s="3">
        <v>0</v>
      </c>
      <c r="O185" s="3">
        <v>0</v>
      </c>
      <c r="P185" s="2">
        <v>0</v>
      </c>
      <c r="Q185" s="2">
        <v>40</v>
      </c>
      <c r="R185" s="2">
        <v>70</v>
      </c>
      <c r="S185" s="2">
        <v>110</v>
      </c>
      <c r="T185" s="2">
        <v>-30</v>
      </c>
      <c r="U185" s="2">
        <v>-110</v>
      </c>
      <c r="V185" s="2">
        <v>-230</v>
      </c>
      <c r="W185" s="2">
        <f t="shared" si="9"/>
        <v>120</v>
      </c>
      <c r="X185" s="6">
        <f t="shared" si="10"/>
        <v>13.043478260869565</v>
      </c>
      <c r="Y185" s="6">
        <f t="shared" si="11"/>
        <v>47.826086956521742</v>
      </c>
    </row>
    <row r="186" spans="1:25" x14ac:dyDescent="0.25">
      <c r="A186" s="1">
        <v>44571</v>
      </c>
      <c r="B186" t="s">
        <v>97</v>
      </c>
      <c r="D186" t="s">
        <v>37</v>
      </c>
      <c r="E186" t="s">
        <v>88</v>
      </c>
      <c r="F186" t="s">
        <v>29</v>
      </c>
      <c r="G186" t="s">
        <v>30</v>
      </c>
      <c r="H186" t="s">
        <v>35</v>
      </c>
      <c r="I186" s="2">
        <v>336</v>
      </c>
      <c r="J186" s="6">
        <f t="shared" si="8"/>
        <v>184.8</v>
      </c>
      <c r="K186" s="5">
        <v>0.55000000000000004</v>
      </c>
      <c r="L186" s="3">
        <v>15</v>
      </c>
      <c r="M186" s="3">
        <v>25</v>
      </c>
      <c r="N186" s="3">
        <v>0</v>
      </c>
      <c r="O186" s="3">
        <v>0.6</v>
      </c>
      <c r="P186" s="2">
        <v>0</v>
      </c>
      <c r="Q186" s="2">
        <v>50</v>
      </c>
      <c r="R186" s="2">
        <v>120</v>
      </c>
      <c r="S186" s="2">
        <v>160</v>
      </c>
      <c r="T186" s="2">
        <v>-10</v>
      </c>
      <c r="U186" s="2">
        <v>-80</v>
      </c>
      <c r="V186" s="2">
        <v>-220</v>
      </c>
      <c r="W186" s="2">
        <f t="shared" si="9"/>
        <v>140</v>
      </c>
      <c r="X186" s="6">
        <f t="shared" si="10"/>
        <v>4.5454545454545459</v>
      </c>
      <c r="Y186" s="6">
        <f t="shared" si="11"/>
        <v>36.363636363636367</v>
      </c>
    </row>
    <row r="187" spans="1:25" x14ac:dyDescent="0.25">
      <c r="A187" s="1">
        <v>44585</v>
      </c>
      <c r="B187" t="s">
        <v>154</v>
      </c>
      <c r="C187" t="s">
        <v>26</v>
      </c>
      <c r="D187" t="s">
        <v>37</v>
      </c>
      <c r="E187" t="s">
        <v>52</v>
      </c>
      <c r="F187" t="s">
        <v>29</v>
      </c>
      <c r="G187" t="s">
        <v>30</v>
      </c>
      <c r="H187" t="s">
        <v>56</v>
      </c>
      <c r="I187" s="2">
        <v>340</v>
      </c>
      <c r="J187" s="6">
        <f t="shared" si="8"/>
        <v>183.60000000000002</v>
      </c>
      <c r="K187" s="5">
        <v>0.54</v>
      </c>
      <c r="L187" s="3">
        <v>10</v>
      </c>
      <c r="M187" s="3">
        <v>25</v>
      </c>
      <c r="N187" s="3">
        <v>0</v>
      </c>
      <c r="O187" s="3">
        <v>0.6</v>
      </c>
      <c r="P187" s="2">
        <v>0</v>
      </c>
      <c r="Q187" s="2">
        <v>60</v>
      </c>
      <c r="R187" s="2">
        <v>90</v>
      </c>
      <c r="S187" s="2">
        <v>130</v>
      </c>
      <c r="T187" s="2">
        <v>-20</v>
      </c>
      <c r="U187" s="2">
        <v>-110</v>
      </c>
      <c r="V187" s="2">
        <v>-220</v>
      </c>
      <c r="W187" s="2">
        <f t="shared" si="9"/>
        <v>110</v>
      </c>
      <c r="X187" s="6">
        <f t="shared" si="10"/>
        <v>9.0909090909090917</v>
      </c>
      <c r="Y187" s="6">
        <f t="shared" si="11"/>
        <v>50</v>
      </c>
    </row>
    <row r="188" spans="1:25" x14ac:dyDescent="0.25">
      <c r="A188" s="1">
        <v>44860</v>
      </c>
      <c r="B188" t="s">
        <v>163</v>
      </c>
      <c r="D188" t="s">
        <v>37</v>
      </c>
      <c r="E188" t="s">
        <v>164</v>
      </c>
      <c r="F188" t="s">
        <v>29</v>
      </c>
      <c r="G188" t="s">
        <v>30</v>
      </c>
      <c r="H188" t="s">
        <v>35</v>
      </c>
      <c r="I188" s="2">
        <v>336</v>
      </c>
      <c r="J188" s="6">
        <f t="shared" si="8"/>
        <v>184.8</v>
      </c>
      <c r="K188" s="5">
        <v>0.55000000000000004</v>
      </c>
      <c r="L188" s="3">
        <v>0</v>
      </c>
      <c r="M188" s="3">
        <v>0</v>
      </c>
      <c r="N188" s="3">
        <v>5.5</v>
      </c>
      <c r="O188" s="3">
        <v>0.6</v>
      </c>
      <c r="P188" s="2">
        <v>0</v>
      </c>
      <c r="Q188" s="2">
        <v>-40</v>
      </c>
      <c r="R188" s="2">
        <v>-80</v>
      </c>
      <c r="S188" s="2">
        <v>-120</v>
      </c>
      <c r="T188" s="2">
        <v>-180</v>
      </c>
      <c r="U188" s="2">
        <v>-260</v>
      </c>
      <c r="V188" s="2">
        <v>-380</v>
      </c>
      <c r="W188" s="2">
        <f t="shared" si="9"/>
        <v>120</v>
      </c>
      <c r="X188" s="6">
        <f t="shared" si="10"/>
        <v>47.368421052631582</v>
      </c>
      <c r="Y188" s="6">
        <f t="shared" si="11"/>
        <v>68.421052631578945</v>
      </c>
    </row>
    <row r="189" spans="1:25" x14ac:dyDescent="0.25">
      <c r="A189" s="1">
        <v>44580</v>
      </c>
      <c r="B189" t="s">
        <v>146</v>
      </c>
      <c r="D189" t="s">
        <v>37</v>
      </c>
      <c r="E189" t="s">
        <v>78</v>
      </c>
      <c r="F189" t="s">
        <v>147</v>
      </c>
      <c r="G189" t="s">
        <v>83</v>
      </c>
      <c r="H189" t="s">
        <v>148</v>
      </c>
      <c r="I189" s="2">
        <v>340</v>
      </c>
      <c r="J189" s="6">
        <f t="shared" si="8"/>
        <v>190.4</v>
      </c>
      <c r="K189" s="5">
        <v>0.56000000000000005</v>
      </c>
      <c r="L189" s="3">
        <v>12</v>
      </c>
      <c r="M189" s="3">
        <v>0</v>
      </c>
      <c r="N189" s="3">
        <v>0</v>
      </c>
      <c r="O189" s="3">
        <v>0.6</v>
      </c>
      <c r="P189" s="2">
        <v>0</v>
      </c>
      <c r="Q189" s="2">
        <v>30</v>
      </c>
      <c r="R189" s="2">
        <v>80</v>
      </c>
      <c r="S189" s="2">
        <v>120</v>
      </c>
      <c r="T189" s="2">
        <v>-30</v>
      </c>
      <c r="U189" s="2">
        <v>-120</v>
      </c>
      <c r="V189" s="2">
        <v>-210</v>
      </c>
      <c r="W189" s="2">
        <f t="shared" si="9"/>
        <v>90</v>
      </c>
      <c r="X189" s="6">
        <f t="shared" si="10"/>
        <v>14.285714285714286</v>
      </c>
      <c r="Y189" s="6">
        <f t="shared" si="11"/>
        <v>57.142857142857146</v>
      </c>
    </row>
    <row r="190" spans="1:25" x14ac:dyDescent="0.25">
      <c r="A190" s="1">
        <v>44389</v>
      </c>
      <c r="B190" t="s">
        <v>151</v>
      </c>
      <c r="C190" t="s">
        <v>26</v>
      </c>
      <c r="D190" t="s">
        <v>37</v>
      </c>
      <c r="F190" t="s">
        <v>54</v>
      </c>
      <c r="G190" t="s">
        <v>55</v>
      </c>
      <c r="H190" t="s">
        <v>56</v>
      </c>
      <c r="I190" s="2">
        <v>311</v>
      </c>
      <c r="J190" s="6">
        <f t="shared" si="8"/>
        <v>192.82</v>
      </c>
      <c r="K190" s="5">
        <v>0.62</v>
      </c>
      <c r="L190" s="3">
        <v>10</v>
      </c>
      <c r="M190" s="3">
        <v>25</v>
      </c>
      <c r="N190" s="3">
        <v>0</v>
      </c>
      <c r="O190" s="3">
        <v>0</v>
      </c>
      <c r="P190" s="2">
        <v>0</v>
      </c>
      <c r="Q190" s="2">
        <v>30</v>
      </c>
      <c r="R190" s="2">
        <v>40</v>
      </c>
      <c r="S190" s="2">
        <v>60</v>
      </c>
      <c r="T190" s="2">
        <v>-40</v>
      </c>
      <c r="U190" s="2">
        <v>-90</v>
      </c>
      <c r="V190" s="2">
        <v>-200</v>
      </c>
      <c r="W190" s="2">
        <f t="shared" si="9"/>
        <v>110</v>
      </c>
      <c r="X190" s="6">
        <f t="shared" si="10"/>
        <v>20</v>
      </c>
      <c r="Y190" s="6">
        <f t="shared" si="11"/>
        <v>45</v>
      </c>
    </row>
    <row r="191" spans="1:25" x14ac:dyDescent="0.25">
      <c r="A191" s="1">
        <v>44888</v>
      </c>
      <c r="B191" t="s">
        <v>61</v>
      </c>
      <c r="D191" t="s">
        <v>37</v>
      </c>
      <c r="E191" t="s">
        <v>62</v>
      </c>
      <c r="F191" t="s">
        <v>63</v>
      </c>
      <c r="G191" t="s">
        <v>55</v>
      </c>
      <c r="H191" t="s">
        <v>31</v>
      </c>
      <c r="I191" s="2">
        <v>424</v>
      </c>
      <c r="J191" s="6">
        <f t="shared" si="8"/>
        <v>216.24</v>
      </c>
      <c r="K191" s="5">
        <v>0.51</v>
      </c>
      <c r="L191" s="3">
        <v>0</v>
      </c>
      <c r="M191" s="3">
        <v>0</v>
      </c>
      <c r="N191" s="3">
        <v>0</v>
      </c>
      <c r="O191" s="3">
        <v>0</v>
      </c>
      <c r="P191" s="2">
        <v>0</v>
      </c>
      <c r="Q191" s="2">
        <v>10</v>
      </c>
      <c r="R191" s="2">
        <v>40</v>
      </c>
      <c r="S191" s="2">
        <v>70</v>
      </c>
      <c r="T191" s="2">
        <v>-90</v>
      </c>
      <c r="U191" s="2">
        <v>-240</v>
      </c>
      <c r="V191" s="2">
        <v>-380</v>
      </c>
      <c r="W191" s="2">
        <f t="shared" si="9"/>
        <v>140</v>
      </c>
      <c r="X191" s="6">
        <f t="shared" si="10"/>
        <v>23.684210526315791</v>
      </c>
      <c r="Y191" s="6">
        <f t="shared" si="11"/>
        <v>63.157894736842103</v>
      </c>
    </row>
    <row r="192" spans="1:25" x14ac:dyDescent="0.25">
      <c r="A192" s="1">
        <v>44497</v>
      </c>
      <c r="B192" t="s">
        <v>152</v>
      </c>
      <c r="C192" t="s">
        <v>26</v>
      </c>
      <c r="D192" t="s">
        <v>37</v>
      </c>
      <c r="F192" t="s">
        <v>29</v>
      </c>
      <c r="G192" t="s">
        <v>30</v>
      </c>
      <c r="H192" t="s">
        <v>35</v>
      </c>
      <c r="I192" s="2">
        <v>344</v>
      </c>
      <c r="J192" s="6">
        <f t="shared" si="8"/>
        <v>185.76000000000002</v>
      </c>
      <c r="K192" s="5">
        <v>0.54</v>
      </c>
      <c r="L192" s="3">
        <v>0</v>
      </c>
      <c r="M192" s="3">
        <v>0</v>
      </c>
      <c r="N192" s="3">
        <v>5.5</v>
      </c>
      <c r="O192" s="3">
        <v>0.6</v>
      </c>
      <c r="P192" s="2">
        <v>0</v>
      </c>
      <c r="Q192" s="2">
        <v>-20</v>
      </c>
      <c r="R192" s="2">
        <v>-60</v>
      </c>
      <c r="S192" s="2">
        <v>-80</v>
      </c>
      <c r="T192" s="2">
        <v>-160</v>
      </c>
      <c r="U192" s="2">
        <v>-250</v>
      </c>
      <c r="V192" s="2">
        <v>-350</v>
      </c>
      <c r="W192" s="2">
        <f t="shared" si="9"/>
        <v>100</v>
      </c>
      <c r="X192" s="6">
        <f t="shared" si="10"/>
        <v>45.714285714285715</v>
      </c>
      <c r="Y192" s="6">
        <f t="shared" si="11"/>
        <v>71.428571428571431</v>
      </c>
    </row>
    <row r="193" spans="1:25" x14ac:dyDescent="0.25">
      <c r="A193" s="1">
        <v>45056</v>
      </c>
      <c r="B193" t="s">
        <v>50</v>
      </c>
      <c r="D193" t="s">
        <v>37</v>
      </c>
      <c r="E193" t="s">
        <v>41</v>
      </c>
      <c r="F193" t="s">
        <v>42</v>
      </c>
      <c r="G193" t="s">
        <v>30</v>
      </c>
      <c r="H193" t="s">
        <v>51</v>
      </c>
      <c r="I193" s="2">
        <v>332</v>
      </c>
      <c r="J193" s="6">
        <f t="shared" si="8"/>
        <v>182.60000000000002</v>
      </c>
      <c r="K193" s="5">
        <v>0.55000000000000004</v>
      </c>
      <c r="L193" s="3">
        <v>25</v>
      </c>
      <c r="M193" s="3" t="s">
        <v>70</v>
      </c>
      <c r="N193" s="3">
        <v>0</v>
      </c>
      <c r="O193" s="3">
        <v>0.6</v>
      </c>
      <c r="P193" s="2">
        <v>0</v>
      </c>
      <c r="Q193" s="2">
        <v>20</v>
      </c>
      <c r="R193" s="2">
        <v>60</v>
      </c>
      <c r="S193" s="2">
        <v>90</v>
      </c>
      <c r="T193" s="2">
        <v>-30</v>
      </c>
      <c r="U193" s="2">
        <v>-110</v>
      </c>
      <c r="V193" s="2">
        <v>-250</v>
      </c>
      <c r="W193" s="2">
        <f t="shared" si="9"/>
        <v>140</v>
      </c>
      <c r="X193" s="6">
        <f t="shared" si="10"/>
        <v>12</v>
      </c>
      <c r="Y193" s="6">
        <f t="shared" si="11"/>
        <v>44</v>
      </c>
    </row>
    <row r="194" spans="1:25" x14ac:dyDescent="0.25">
      <c r="A194" s="1">
        <v>45056</v>
      </c>
      <c r="B194" t="s">
        <v>50</v>
      </c>
      <c r="D194" t="s">
        <v>37</v>
      </c>
      <c r="E194" t="s">
        <v>41</v>
      </c>
      <c r="F194" t="s">
        <v>42</v>
      </c>
      <c r="G194" t="s">
        <v>30</v>
      </c>
      <c r="H194" t="s">
        <v>51</v>
      </c>
      <c r="I194" s="2">
        <v>332</v>
      </c>
      <c r="J194" s="6">
        <f t="shared" ref="J194:J208" si="12">K194*I194</f>
        <v>182.60000000000002</v>
      </c>
      <c r="K194" s="5">
        <v>0.55000000000000004</v>
      </c>
      <c r="L194" s="3">
        <v>25</v>
      </c>
      <c r="M194" s="3">
        <v>0</v>
      </c>
      <c r="N194" s="3">
        <v>0</v>
      </c>
      <c r="O194" s="3">
        <v>0.6</v>
      </c>
      <c r="P194" s="2">
        <v>0</v>
      </c>
      <c r="Q194" s="2">
        <v>220</v>
      </c>
      <c r="R194" s="2">
        <v>420</v>
      </c>
      <c r="S194" s="2">
        <v>620</v>
      </c>
      <c r="T194" s="2">
        <v>440</v>
      </c>
      <c r="U194" s="2">
        <v>270</v>
      </c>
      <c r="V194" s="2">
        <v>140</v>
      </c>
      <c r="W194" s="2">
        <f t="shared" si="9"/>
        <v>130</v>
      </c>
      <c r="X194" s="6">
        <f t="shared" si="10"/>
        <v>314.28571428571428</v>
      </c>
      <c r="Y194" s="6">
        <f t="shared" si="11"/>
        <v>192.85714285714286</v>
      </c>
    </row>
    <row r="195" spans="1:25" x14ac:dyDescent="0.25">
      <c r="A195" s="1">
        <v>45056</v>
      </c>
      <c r="B195" t="s">
        <v>50</v>
      </c>
      <c r="D195" t="s">
        <v>37</v>
      </c>
      <c r="E195" t="s">
        <v>41</v>
      </c>
      <c r="F195" t="s">
        <v>42</v>
      </c>
      <c r="G195" t="s">
        <v>30</v>
      </c>
      <c r="H195" t="s">
        <v>51</v>
      </c>
      <c r="I195" s="2">
        <v>332</v>
      </c>
      <c r="J195" s="6">
        <f t="shared" si="12"/>
        <v>182.60000000000002</v>
      </c>
      <c r="K195" s="5">
        <v>0.55000000000000004</v>
      </c>
      <c r="L195" s="3">
        <v>30</v>
      </c>
      <c r="M195" s="3" t="s">
        <v>70</v>
      </c>
      <c r="N195" s="3">
        <v>0</v>
      </c>
      <c r="O195" s="3">
        <v>0.6</v>
      </c>
      <c r="P195" s="2">
        <v>0</v>
      </c>
      <c r="Q195" s="2">
        <v>160</v>
      </c>
      <c r="R195" s="2">
        <v>380</v>
      </c>
      <c r="S195" s="2">
        <v>760</v>
      </c>
      <c r="T195" s="2">
        <v>610</v>
      </c>
      <c r="U195" s="2">
        <v>370</v>
      </c>
      <c r="V195" s="2">
        <v>70</v>
      </c>
      <c r="W195" s="2">
        <f t="shared" ref="W195:W208" si="13">U195-V195</f>
        <v>300</v>
      </c>
      <c r="X195" s="6">
        <f t="shared" ref="X195:X208" si="14">100*T195/V195</f>
        <v>871.42857142857144</v>
      </c>
      <c r="Y195" s="6">
        <f t="shared" ref="Y195:Y208" si="15">100*U195/V195</f>
        <v>528.57142857142856</v>
      </c>
    </row>
    <row r="196" spans="1:25" x14ac:dyDescent="0.25">
      <c r="A196" s="1">
        <v>45056</v>
      </c>
      <c r="B196" t="s">
        <v>50</v>
      </c>
      <c r="D196" t="s">
        <v>37</v>
      </c>
      <c r="E196" t="s">
        <v>41</v>
      </c>
      <c r="F196" t="s">
        <v>42</v>
      </c>
      <c r="G196" t="s">
        <v>30</v>
      </c>
      <c r="H196" t="s">
        <v>51</v>
      </c>
      <c r="I196" s="2">
        <v>332</v>
      </c>
      <c r="J196" s="6">
        <f t="shared" si="12"/>
        <v>182.60000000000002</v>
      </c>
      <c r="K196" s="5">
        <v>0.55000000000000004</v>
      </c>
      <c r="L196" s="3">
        <v>30</v>
      </c>
      <c r="M196" s="3">
        <v>0</v>
      </c>
      <c r="N196" s="3">
        <v>0</v>
      </c>
      <c r="O196" s="3">
        <v>0.6</v>
      </c>
      <c r="P196" s="2">
        <v>0</v>
      </c>
      <c r="Q196" s="2">
        <v>220</v>
      </c>
      <c r="R196" s="2">
        <v>700</v>
      </c>
      <c r="S196" s="4">
        <v>910</v>
      </c>
      <c r="T196" s="2">
        <v>720</v>
      </c>
      <c r="U196" s="2">
        <v>430</v>
      </c>
      <c r="V196" s="2">
        <v>120</v>
      </c>
      <c r="W196" s="2">
        <f t="shared" si="13"/>
        <v>310</v>
      </c>
      <c r="X196" s="6">
        <f t="shared" si="14"/>
        <v>600</v>
      </c>
      <c r="Y196" s="6">
        <f t="shared" si="15"/>
        <v>358.33333333333331</v>
      </c>
    </row>
    <row r="197" spans="1:25" x14ac:dyDescent="0.25">
      <c r="A197" s="1">
        <v>44419</v>
      </c>
      <c r="B197" t="s">
        <v>165</v>
      </c>
      <c r="C197" t="s">
        <v>26</v>
      </c>
      <c r="D197" t="s">
        <v>37</v>
      </c>
      <c r="F197" t="s">
        <v>166</v>
      </c>
      <c r="G197" t="s">
        <v>90</v>
      </c>
      <c r="H197" t="s">
        <v>167</v>
      </c>
      <c r="I197" s="2">
        <v>390</v>
      </c>
      <c r="J197" s="6">
        <f t="shared" si="12"/>
        <v>177.84</v>
      </c>
      <c r="K197" s="5">
        <v>0.45600000000000002</v>
      </c>
      <c r="L197" s="3">
        <v>0</v>
      </c>
      <c r="M197" s="3">
        <v>25</v>
      </c>
      <c r="N197" s="3">
        <v>5.65</v>
      </c>
      <c r="O197" s="3">
        <v>0</v>
      </c>
      <c r="P197" s="2">
        <v>0</v>
      </c>
      <c r="Q197" s="2">
        <v>0</v>
      </c>
      <c r="R197" s="2">
        <v>130</v>
      </c>
      <c r="S197" s="2">
        <v>140</v>
      </c>
      <c r="T197" s="2">
        <v>-30</v>
      </c>
      <c r="U197" s="2">
        <v>-100</v>
      </c>
      <c r="V197" s="2">
        <v>-230</v>
      </c>
      <c r="W197" s="2">
        <f t="shared" si="13"/>
        <v>130</v>
      </c>
      <c r="X197" s="6">
        <f t="shared" si="14"/>
        <v>13.043478260869565</v>
      </c>
      <c r="Y197" s="6">
        <f t="shared" si="15"/>
        <v>43.478260869565219</v>
      </c>
    </row>
    <row r="198" spans="1:25" x14ac:dyDescent="0.25">
      <c r="A198" s="1">
        <v>44389</v>
      </c>
      <c r="B198" t="s">
        <v>151</v>
      </c>
      <c r="D198" t="s">
        <v>37</v>
      </c>
      <c r="E198" t="s">
        <v>115</v>
      </c>
      <c r="F198" t="s">
        <v>54</v>
      </c>
      <c r="G198" t="s">
        <v>55</v>
      </c>
      <c r="H198" t="s">
        <v>56</v>
      </c>
      <c r="I198" s="2">
        <v>311</v>
      </c>
      <c r="J198" s="6">
        <f t="shared" si="12"/>
        <v>192.82</v>
      </c>
      <c r="K198" s="5">
        <v>0.62</v>
      </c>
      <c r="L198" s="3">
        <v>10</v>
      </c>
      <c r="M198" s="3">
        <v>25</v>
      </c>
      <c r="N198" s="3">
        <v>0</v>
      </c>
      <c r="O198" s="3">
        <v>0</v>
      </c>
      <c r="P198" s="2">
        <v>0</v>
      </c>
      <c r="Q198" s="2">
        <v>30</v>
      </c>
      <c r="R198" s="2">
        <v>40</v>
      </c>
      <c r="S198" s="2">
        <v>60</v>
      </c>
      <c r="T198" s="2">
        <v>-40</v>
      </c>
      <c r="U198" s="2">
        <v>-90</v>
      </c>
      <c r="V198" s="2">
        <v>-200</v>
      </c>
      <c r="W198" s="2">
        <f t="shared" si="13"/>
        <v>110</v>
      </c>
      <c r="X198" s="6">
        <f t="shared" si="14"/>
        <v>20</v>
      </c>
      <c r="Y198" s="6">
        <f t="shared" si="15"/>
        <v>45</v>
      </c>
    </row>
    <row r="199" spans="1:25" x14ac:dyDescent="0.25">
      <c r="A199" s="1">
        <v>44419</v>
      </c>
      <c r="B199" t="s">
        <v>165</v>
      </c>
      <c r="C199" t="s">
        <v>26</v>
      </c>
      <c r="D199" t="s">
        <v>37</v>
      </c>
      <c r="F199" t="s">
        <v>166</v>
      </c>
      <c r="G199" t="s">
        <v>90</v>
      </c>
      <c r="H199" t="s">
        <v>167</v>
      </c>
      <c r="I199" s="2">
        <v>390</v>
      </c>
      <c r="J199" s="6">
        <f t="shared" si="12"/>
        <v>177.06</v>
      </c>
      <c r="K199" s="5">
        <v>0.45400000000000001</v>
      </c>
      <c r="L199" s="3">
        <v>0</v>
      </c>
      <c r="M199" s="3">
        <v>25</v>
      </c>
      <c r="N199" s="3">
        <v>5.65</v>
      </c>
      <c r="O199" s="3">
        <v>0</v>
      </c>
      <c r="P199" s="2">
        <v>0</v>
      </c>
      <c r="Q199" s="2">
        <v>0</v>
      </c>
      <c r="R199" s="2">
        <v>70</v>
      </c>
      <c r="S199" s="2">
        <v>80</v>
      </c>
      <c r="T199" s="2">
        <v>-80</v>
      </c>
      <c r="U199" s="2">
        <v>-150</v>
      </c>
      <c r="V199" s="2">
        <v>-220</v>
      </c>
      <c r="W199" s="2">
        <f t="shared" si="13"/>
        <v>70</v>
      </c>
      <c r="X199" s="6">
        <f t="shared" si="14"/>
        <v>36.363636363636367</v>
      </c>
      <c r="Y199" s="6">
        <f t="shared" si="15"/>
        <v>68.181818181818187</v>
      </c>
    </row>
    <row r="200" spans="1:25" x14ac:dyDescent="0.25">
      <c r="A200" s="1">
        <v>44419</v>
      </c>
      <c r="B200" t="s">
        <v>165</v>
      </c>
      <c r="C200" t="s">
        <v>26</v>
      </c>
      <c r="D200" t="s">
        <v>37</v>
      </c>
      <c r="F200" t="s">
        <v>166</v>
      </c>
      <c r="G200" t="s">
        <v>90</v>
      </c>
      <c r="H200" t="s">
        <v>167</v>
      </c>
      <c r="I200" s="2">
        <v>390</v>
      </c>
      <c r="J200" s="6">
        <f t="shared" si="12"/>
        <v>177.84</v>
      </c>
      <c r="K200" s="5">
        <v>0.45600000000000002</v>
      </c>
      <c r="L200" s="3">
        <v>10</v>
      </c>
      <c r="M200" s="3">
        <v>25</v>
      </c>
      <c r="N200" s="3">
        <v>5.65</v>
      </c>
      <c r="O200" s="3">
        <v>0</v>
      </c>
      <c r="P200" s="2">
        <v>0</v>
      </c>
      <c r="Q200" s="2">
        <v>0</v>
      </c>
      <c r="R200" s="2">
        <v>160</v>
      </c>
      <c r="S200" s="2">
        <v>180</v>
      </c>
      <c r="T200" s="2">
        <v>40</v>
      </c>
      <c r="U200" s="2">
        <v>-60</v>
      </c>
      <c r="V200" s="2">
        <v>-130</v>
      </c>
      <c r="W200" s="2">
        <f t="shared" si="13"/>
        <v>70</v>
      </c>
      <c r="X200" s="6">
        <f t="shared" si="14"/>
        <v>-30.76923076923077</v>
      </c>
      <c r="Y200" s="6">
        <f t="shared" si="15"/>
        <v>46.153846153846153</v>
      </c>
    </row>
    <row r="201" spans="1:25" x14ac:dyDescent="0.25">
      <c r="A201" s="1">
        <v>44596</v>
      </c>
      <c r="B201" t="s">
        <v>94</v>
      </c>
      <c r="C201" t="s">
        <v>26</v>
      </c>
      <c r="D201" t="s">
        <v>37</v>
      </c>
      <c r="F201" t="s">
        <v>95</v>
      </c>
      <c r="G201" t="s">
        <v>90</v>
      </c>
      <c r="H201" t="s">
        <v>168</v>
      </c>
      <c r="I201" s="2">
        <v>355</v>
      </c>
      <c r="J201" s="6">
        <f t="shared" si="12"/>
        <v>191.70000000000002</v>
      </c>
      <c r="K201" s="5">
        <v>0.54</v>
      </c>
      <c r="L201" s="3">
        <v>0</v>
      </c>
      <c r="M201" s="3">
        <v>25</v>
      </c>
      <c r="N201" s="3">
        <v>0</v>
      </c>
      <c r="O201" s="3">
        <v>0.6</v>
      </c>
      <c r="P201" s="2">
        <v>0</v>
      </c>
      <c r="Q201" s="2">
        <v>130</v>
      </c>
      <c r="R201" s="2">
        <v>80</v>
      </c>
      <c r="S201" s="2">
        <v>30</v>
      </c>
      <c r="T201" s="2">
        <v>-40</v>
      </c>
      <c r="U201" s="2">
        <v>-150</v>
      </c>
      <c r="V201" s="2">
        <v>-200</v>
      </c>
      <c r="W201" s="2">
        <f t="shared" si="13"/>
        <v>50</v>
      </c>
      <c r="X201" s="6">
        <f t="shared" si="14"/>
        <v>20</v>
      </c>
      <c r="Y201" s="6">
        <f t="shared" si="15"/>
        <v>75</v>
      </c>
    </row>
    <row r="202" spans="1:25" x14ac:dyDescent="0.25">
      <c r="A202" s="1">
        <v>44419</v>
      </c>
      <c r="B202" t="s">
        <v>165</v>
      </c>
      <c r="C202" t="s">
        <v>26</v>
      </c>
      <c r="D202" t="s">
        <v>37</v>
      </c>
      <c r="F202" t="s">
        <v>166</v>
      </c>
      <c r="G202" t="s">
        <v>90</v>
      </c>
      <c r="H202" t="s">
        <v>167</v>
      </c>
      <c r="I202" s="2">
        <v>390</v>
      </c>
      <c r="J202" s="6">
        <f t="shared" si="12"/>
        <v>177.84</v>
      </c>
      <c r="K202" s="5">
        <v>0.45600000000000002</v>
      </c>
      <c r="L202" s="3">
        <v>12.5</v>
      </c>
      <c r="M202" s="3">
        <v>25</v>
      </c>
      <c r="N202" s="3">
        <v>5.65</v>
      </c>
      <c r="O202" s="3">
        <v>0</v>
      </c>
      <c r="P202" s="2">
        <v>0</v>
      </c>
      <c r="Q202" s="2">
        <v>0</v>
      </c>
      <c r="R202" s="2">
        <v>200</v>
      </c>
      <c r="S202" s="2">
        <v>230</v>
      </c>
      <c r="T202" s="2">
        <v>100</v>
      </c>
      <c r="U202" s="2">
        <v>-20</v>
      </c>
      <c r="V202" s="2">
        <v>-80</v>
      </c>
      <c r="W202" s="2">
        <f t="shared" si="13"/>
        <v>60</v>
      </c>
      <c r="X202" s="6">
        <f t="shared" si="14"/>
        <v>-125</v>
      </c>
      <c r="Y202" s="6">
        <f t="shared" si="15"/>
        <v>25</v>
      </c>
    </row>
    <row r="203" spans="1:25" x14ac:dyDescent="0.25">
      <c r="A203" s="1">
        <v>44566</v>
      </c>
      <c r="B203" t="s">
        <v>140</v>
      </c>
      <c r="C203" t="s">
        <v>26</v>
      </c>
      <c r="D203" t="s">
        <v>37</v>
      </c>
      <c r="E203" t="s">
        <v>141</v>
      </c>
      <c r="F203" t="s">
        <v>29</v>
      </c>
      <c r="G203" t="s">
        <v>30</v>
      </c>
      <c r="H203" t="s">
        <v>35</v>
      </c>
      <c r="I203" s="2">
        <v>339</v>
      </c>
      <c r="J203" s="6">
        <f t="shared" si="12"/>
        <v>203.4</v>
      </c>
      <c r="K203" s="5">
        <v>0.6</v>
      </c>
      <c r="L203" s="3">
        <v>0</v>
      </c>
      <c r="M203" s="3">
        <v>25</v>
      </c>
      <c r="N203" s="3">
        <v>0</v>
      </c>
      <c r="O203" s="3">
        <v>0.6</v>
      </c>
      <c r="P203" s="2">
        <v>0</v>
      </c>
      <c r="Q203" s="2">
        <v>90</v>
      </c>
      <c r="R203" s="2">
        <v>150</v>
      </c>
      <c r="S203" s="2">
        <v>210</v>
      </c>
      <c r="T203" s="2">
        <v>40</v>
      </c>
      <c r="U203" s="2">
        <v>-90</v>
      </c>
      <c r="V203" s="2">
        <v>-140</v>
      </c>
      <c r="W203" s="2">
        <f t="shared" si="13"/>
        <v>50</v>
      </c>
      <c r="X203" s="6">
        <f t="shared" si="14"/>
        <v>-28.571428571428573</v>
      </c>
      <c r="Y203" s="6">
        <f t="shared" si="15"/>
        <v>64.285714285714292</v>
      </c>
    </row>
    <row r="204" spans="1:25" x14ac:dyDescent="0.25">
      <c r="A204" s="1">
        <v>45132</v>
      </c>
      <c r="B204" t="s">
        <v>112</v>
      </c>
      <c r="C204" t="s">
        <v>26</v>
      </c>
      <c r="D204" t="s">
        <v>37</v>
      </c>
      <c r="E204" t="s">
        <v>113</v>
      </c>
      <c r="F204" t="s">
        <v>101</v>
      </c>
      <c r="G204" t="s">
        <v>68</v>
      </c>
      <c r="H204" t="s">
        <v>31</v>
      </c>
      <c r="I204" s="2">
        <v>380</v>
      </c>
      <c r="J204" s="6">
        <f t="shared" si="12"/>
        <v>190</v>
      </c>
      <c r="K204" s="5">
        <v>0.5</v>
      </c>
      <c r="L204" s="3">
        <v>8</v>
      </c>
      <c r="M204" s="3">
        <v>0</v>
      </c>
      <c r="N204" s="3">
        <v>5</v>
      </c>
      <c r="O204" s="3">
        <v>0.6</v>
      </c>
      <c r="P204" s="2">
        <v>0</v>
      </c>
      <c r="Q204" s="2">
        <v>10</v>
      </c>
      <c r="R204" s="2">
        <v>30</v>
      </c>
      <c r="S204" s="2">
        <v>70</v>
      </c>
      <c r="T204" s="2">
        <v>-80</v>
      </c>
      <c r="U204" s="2">
        <v>-230</v>
      </c>
      <c r="V204" s="2">
        <v>-350</v>
      </c>
      <c r="W204" s="2">
        <f t="shared" si="13"/>
        <v>120</v>
      </c>
      <c r="X204" s="6">
        <f t="shared" si="14"/>
        <v>22.857142857142858</v>
      </c>
      <c r="Y204" s="6">
        <f t="shared" si="15"/>
        <v>65.714285714285708</v>
      </c>
    </row>
    <row r="205" spans="1:25" x14ac:dyDescent="0.25">
      <c r="A205" s="1">
        <v>44419</v>
      </c>
      <c r="B205" t="s">
        <v>165</v>
      </c>
      <c r="C205" t="s">
        <v>26</v>
      </c>
      <c r="D205" t="s">
        <v>37</v>
      </c>
      <c r="F205" t="s">
        <v>166</v>
      </c>
      <c r="G205" t="s">
        <v>90</v>
      </c>
      <c r="H205" t="s">
        <v>167</v>
      </c>
      <c r="I205" s="2">
        <v>390</v>
      </c>
      <c r="J205" s="6">
        <f t="shared" si="12"/>
        <v>187.98</v>
      </c>
      <c r="K205" s="5">
        <v>0.48199999999999998</v>
      </c>
      <c r="L205" s="3">
        <v>15</v>
      </c>
      <c r="M205" s="3">
        <v>25</v>
      </c>
      <c r="N205" s="3">
        <v>5.65</v>
      </c>
      <c r="O205" s="3">
        <v>0</v>
      </c>
      <c r="P205" s="2">
        <v>0</v>
      </c>
      <c r="Q205" s="2">
        <v>0</v>
      </c>
      <c r="R205" s="2">
        <v>230</v>
      </c>
      <c r="S205" s="2">
        <v>260</v>
      </c>
      <c r="T205" s="2">
        <v>150</v>
      </c>
      <c r="U205" s="2">
        <v>40</v>
      </c>
      <c r="V205" s="2">
        <v>-20</v>
      </c>
      <c r="W205" s="2">
        <f t="shared" si="13"/>
        <v>60</v>
      </c>
      <c r="X205" s="6">
        <f t="shared" si="14"/>
        <v>-750</v>
      </c>
      <c r="Y205" s="6">
        <f t="shared" si="15"/>
        <v>-200</v>
      </c>
    </row>
    <row r="206" spans="1:25" x14ac:dyDescent="0.25">
      <c r="A206" s="1">
        <v>44596</v>
      </c>
      <c r="B206" t="s">
        <v>94</v>
      </c>
      <c r="C206" t="s">
        <v>26</v>
      </c>
      <c r="D206" t="s">
        <v>37</v>
      </c>
      <c r="F206" t="s">
        <v>95</v>
      </c>
      <c r="G206" t="s">
        <v>90</v>
      </c>
      <c r="H206" t="s">
        <v>168</v>
      </c>
      <c r="I206" s="2">
        <v>355</v>
      </c>
      <c r="J206" s="6">
        <f t="shared" si="12"/>
        <v>191.70000000000002</v>
      </c>
      <c r="K206" s="5">
        <v>0.54</v>
      </c>
      <c r="L206" s="3">
        <v>12.5</v>
      </c>
      <c r="M206" s="3">
        <v>25</v>
      </c>
      <c r="N206" s="3">
        <v>0</v>
      </c>
      <c r="O206" s="3">
        <v>0.6</v>
      </c>
      <c r="P206" s="2">
        <v>0</v>
      </c>
      <c r="Q206" s="2">
        <v>340</v>
      </c>
      <c r="R206" s="2">
        <v>310</v>
      </c>
      <c r="S206" s="2">
        <v>310</v>
      </c>
      <c r="T206" s="2">
        <v>250</v>
      </c>
      <c r="U206" s="2">
        <v>140</v>
      </c>
      <c r="V206" s="2">
        <v>110</v>
      </c>
      <c r="W206" s="2">
        <f t="shared" si="13"/>
        <v>30</v>
      </c>
      <c r="X206" s="6">
        <f t="shared" si="14"/>
        <v>227.27272727272728</v>
      </c>
      <c r="Y206" s="6">
        <f t="shared" si="15"/>
        <v>127.27272727272727</v>
      </c>
    </row>
    <row r="207" spans="1:25" x14ac:dyDescent="0.25">
      <c r="A207" s="1">
        <v>44596</v>
      </c>
      <c r="B207" t="s">
        <v>94</v>
      </c>
      <c r="C207" t="s">
        <v>26</v>
      </c>
      <c r="D207" t="s">
        <v>37</v>
      </c>
      <c r="F207" t="s">
        <v>95</v>
      </c>
      <c r="G207" t="s">
        <v>90</v>
      </c>
      <c r="H207" t="s">
        <v>168</v>
      </c>
      <c r="I207" s="2">
        <v>355</v>
      </c>
      <c r="J207" s="6">
        <f t="shared" si="12"/>
        <v>191.70000000000002</v>
      </c>
      <c r="K207" s="5">
        <v>0.54</v>
      </c>
      <c r="L207" s="3">
        <v>15</v>
      </c>
      <c r="M207" s="3">
        <v>25</v>
      </c>
      <c r="N207" s="3">
        <v>0</v>
      </c>
      <c r="O207" s="3">
        <v>0.6</v>
      </c>
      <c r="P207" s="2">
        <v>0</v>
      </c>
      <c r="Q207" s="2">
        <v>410</v>
      </c>
      <c r="R207" s="2">
        <v>400</v>
      </c>
      <c r="S207" s="2">
        <v>400</v>
      </c>
      <c r="T207" s="2">
        <v>370</v>
      </c>
      <c r="U207" s="2">
        <v>230</v>
      </c>
      <c r="V207" s="2">
        <v>210</v>
      </c>
      <c r="W207" s="2">
        <f t="shared" si="13"/>
        <v>20</v>
      </c>
      <c r="X207" s="6">
        <f t="shared" si="14"/>
        <v>176.1904761904762</v>
      </c>
      <c r="Y207" s="6">
        <f t="shared" si="15"/>
        <v>109.52380952380952</v>
      </c>
    </row>
    <row r="208" spans="1:25" x14ac:dyDescent="0.25">
      <c r="A208" s="1">
        <v>44068</v>
      </c>
      <c r="B208" t="s">
        <v>36</v>
      </c>
      <c r="C208" t="s">
        <v>26</v>
      </c>
      <c r="D208" t="s">
        <v>37</v>
      </c>
      <c r="E208" t="s">
        <v>169</v>
      </c>
      <c r="F208" t="s">
        <v>29</v>
      </c>
      <c r="G208" t="s">
        <v>30</v>
      </c>
      <c r="H208" t="s">
        <v>43</v>
      </c>
      <c r="I208" s="2">
        <v>345</v>
      </c>
      <c r="J208" s="6">
        <f t="shared" si="12"/>
        <v>169.04999999999998</v>
      </c>
      <c r="K208" s="5">
        <v>0.49</v>
      </c>
      <c r="L208" s="3">
        <v>10</v>
      </c>
      <c r="M208" s="3">
        <v>0</v>
      </c>
      <c r="N208" s="3">
        <v>0</v>
      </c>
      <c r="O208" s="3">
        <v>0</v>
      </c>
      <c r="P208" s="2">
        <v>20</v>
      </c>
      <c r="Q208" s="2">
        <v>0</v>
      </c>
      <c r="R208" s="2">
        <v>100</v>
      </c>
      <c r="S208" s="2">
        <v>30</v>
      </c>
      <c r="T208" s="2">
        <v>-150</v>
      </c>
      <c r="U208" s="4"/>
      <c r="V208" s="4"/>
      <c r="W208" s="2">
        <f t="shared" si="13"/>
        <v>0</v>
      </c>
      <c r="X208" s="6" t="e">
        <f t="shared" si="14"/>
        <v>#DIV/0!</v>
      </c>
      <c r="Y208" s="6" t="e">
        <f t="shared" si="15"/>
        <v>#DIV/0!</v>
      </c>
    </row>
  </sheetData>
  <autoFilter ref="A1:V208" xr:uid="{00000000-0009-0000-0000-000000000000}">
    <sortState xmlns:xlrd2="http://schemas.microsoft.com/office/spreadsheetml/2017/richdata2" ref="A2:V208">
      <sortCondition ref="V1:V208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Renan Pícolo Salvador</dc:creator>
  <cp:keywords/>
  <dc:description/>
  <cp:lastModifiedBy>José Carmino Junior Gomes</cp:lastModifiedBy>
  <cp:revision/>
  <dcterms:created xsi:type="dcterms:W3CDTF">2023-10-04T17:09:55Z</dcterms:created>
  <dcterms:modified xsi:type="dcterms:W3CDTF">2026-04-29T20:13:11Z</dcterms:modified>
  <cp:category/>
  <cp:contentStatus/>
</cp:coreProperties>
</file>